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karel_olavarriagamez_wur_nl/Documents/manuscripts/manuscript Rubisco shunt/enzymatic assays/"/>
    </mc:Choice>
  </mc:AlternateContent>
  <xr:revisionPtr revIDLastSave="112" documentId="11_969E0450A223B9E5CF966DA21E19AF0AEE32688E" xr6:coauthVersionLast="47" xr6:coauthVersionMax="47" xr10:uidLastSave="{30C70D1B-67FB-4706-9DC2-45F98B00087E}"/>
  <bookViews>
    <workbookView xWindow="24" yWindow="24" windowWidth="23016" windowHeight="12336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10" i="1"/>
  <c r="H10" i="1"/>
  <c r="I9" i="1"/>
  <c r="H9" i="1"/>
  <c r="I6" i="1"/>
  <c r="H6" i="1"/>
  <c r="H5" i="1"/>
  <c r="I4" i="1"/>
  <c r="H4" i="1"/>
  <c r="I11" i="1"/>
  <c r="H11" i="1"/>
  <c r="C11" i="1"/>
  <c r="C10" i="1"/>
  <c r="C9" i="1"/>
  <c r="C5" i="1"/>
  <c r="C6" i="1"/>
  <c r="C4" i="1"/>
</calcChain>
</file>

<file path=xl/sharedStrings.xml><?xml version="1.0" encoding="utf-8"?>
<sst xmlns="http://schemas.openxmlformats.org/spreadsheetml/2006/main" count="20" uniqueCount="10">
  <si>
    <t>sp. PGI activity (U/mg)</t>
  </si>
  <si>
    <t>SD</t>
  </si>
  <si>
    <t>sp. Tal activity (U/mg)</t>
  </si>
  <si>
    <t>E. coli</t>
  </si>
  <si>
    <r>
      <t xml:space="preserve">E. coli </t>
    </r>
    <r>
      <rPr>
        <sz val="11"/>
        <color theme="1"/>
        <rFont val="Calibri"/>
        <family val="2"/>
      </rPr>
      <t>Δ</t>
    </r>
    <r>
      <rPr>
        <i/>
        <sz val="11"/>
        <color theme="1"/>
        <rFont val="Calibri"/>
        <family val="2"/>
      </rPr>
      <t>pgi</t>
    </r>
  </si>
  <si>
    <t>C.A.p</t>
  </si>
  <si>
    <t>±</t>
  </si>
  <si>
    <t>z score</t>
  </si>
  <si>
    <t>probability of being zero or below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</si>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</sst>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"/>
  </numFmts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618483727545752"/>
          <c:y val="3.9466668502101572E-2"/>
          <c:w val="0.81594641678562108"/>
          <c:h val="0.75177715984802596"/>
        </c:manualLayout>
      </c:layout>
      <c:barChart>
        <c:barDir val="col"/>
        <c:grouping val="clustered"/>
        <c:varyColors val="0"/>
        <c:ser>
          <c:idx val="0"/>
          <c:order val="0"/>
          <c:tx>
            <c:v>PGI</c:v>
          </c:tx>
          <c:spPr>
            <a:solidFill>
              <a:schemeClr val="accent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Planilha1!$F$4:$F$6</c:f>
                <c:numCache>
                  <c:formatCode>General</c:formatCode>
                  <c:ptCount val="3"/>
                  <c:pt idx="0">
                    <c:v>7.5534559984676578E-2</c:v>
                  </c:pt>
                  <c:pt idx="1">
                    <c:v>1.4989704318352025E-4</c:v>
                  </c:pt>
                  <c:pt idx="2">
                    <c:v>7.6543853735967657E-2</c:v>
                  </c:pt>
                </c:numCache>
              </c:numRef>
            </c:plus>
            <c:minus>
              <c:numRef>
                <c:f>Planilha1!$F$4:$F$6</c:f>
                <c:numCache>
                  <c:formatCode>General</c:formatCode>
                  <c:ptCount val="3"/>
                  <c:pt idx="0">
                    <c:v>7.5534559984676578E-2</c:v>
                  </c:pt>
                  <c:pt idx="1">
                    <c:v>1.4989704318352025E-4</c:v>
                  </c:pt>
                  <c:pt idx="2">
                    <c:v>7.6543853735967657E-2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Planilha1!$B$4:$B$6</c:f>
              <c:strCache>
                <c:ptCount val="3"/>
                <c:pt idx="0">
                  <c:v>E. coli</c:v>
                </c:pt>
                <c:pt idx="1">
                  <c:v>E. coli Δpgi</c:v>
                </c:pt>
                <c:pt idx="2">
                  <c:v>C.A.p</c:v>
                </c:pt>
              </c:strCache>
            </c:strRef>
          </c:cat>
          <c:val>
            <c:numRef>
              <c:f>Planilha1!$E$4:$E$6</c:f>
              <c:numCache>
                <c:formatCode>0.0000000</c:formatCode>
                <c:ptCount val="3"/>
                <c:pt idx="0">
                  <c:v>0.80178662165588532</c:v>
                </c:pt>
                <c:pt idx="1">
                  <c:v>2.7121876197668E-3</c:v>
                </c:pt>
                <c:pt idx="2">
                  <c:v>1.1054791277131544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F-4673-A257-654F759ED2B8}"/>
            </c:ext>
          </c:extLst>
        </c:ser>
        <c:ser>
          <c:idx val="2"/>
          <c:order val="1"/>
          <c:tx>
            <c:v>Tal</c:v>
          </c:tx>
          <c:spPr>
            <a:solidFill>
              <a:srgbClr val="7030A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Planilha1!$F$9:$F$11</c:f>
                <c:numCache>
                  <c:formatCode>General</c:formatCode>
                  <c:ptCount val="3"/>
                  <c:pt idx="0">
                    <c:v>9.2338827454924617E-3</c:v>
                  </c:pt>
                  <c:pt idx="1">
                    <c:v>1.0583270623559415E-2</c:v>
                  </c:pt>
                  <c:pt idx="2">
                    <c:v>1.1788293317115853E-2</c:v>
                  </c:pt>
                </c:numCache>
              </c:numRef>
            </c:plus>
            <c:minus>
              <c:numRef>
                <c:f>Planilha1!$F$9:$F$11</c:f>
                <c:numCache>
                  <c:formatCode>General</c:formatCode>
                  <c:ptCount val="3"/>
                  <c:pt idx="0">
                    <c:v>9.2338827454924617E-3</c:v>
                  </c:pt>
                  <c:pt idx="1">
                    <c:v>1.0583270623559415E-2</c:v>
                  </c:pt>
                  <c:pt idx="2">
                    <c:v>1.1788293317115853E-2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Planilha1!$E$9:$E$11</c:f>
              <c:numCache>
                <c:formatCode>0.0000000</c:formatCode>
                <c:ptCount val="3"/>
                <c:pt idx="0">
                  <c:v>0.16375438186795033</c:v>
                </c:pt>
                <c:pt idx="1">
                  <c:v>0.23755267695118729</c:v>
                </c:pt>
                <c:pt idx="2">
                  <c:v>3.2334321951845214E-3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2F-4673-A257-654F759ED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2864832"/>
        <c:axId val="1812863168"/>
      </c:barChart>
      <c:catAx>
        <c:axId val="181286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863168"/>
        <c:crosses val="autoZero"/>
        <c:auto val="1"/>
        <c:lblAlgn val="ctr"/>
        <c:lblOffset val="100"/>
        <c:noMultiLvlLbl val="0"/>
      </c:catAx>
      <c:valAx>
        <c:axId val="1812863168"/>
        <c:scaling>
          <c:orientation val="minMax"/>
          <c:max val="1.2"/>
          <c:min val="-4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specific activity (U/mg soluble proteins)</a:t>
                </a:r>
              </a:p>
            </c:rich>
          </c:tx>
          <c:layout>
            <c:manualLayout>
              <c:xMode val="edge"/>
              <c:yMode val="edge"/>
              <c:x val="4.061078622482131E-2"/>
              <c:y val="7.932657893287814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86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243840</xdr:colOff>
      <xdr:row>2</xdr:row>
      <xdr:rowOff>91440</xdr:rowOff>
    </xdr:from>
    <xdr:to>
      <xdr:col>23</xdr:col>
      <xdr:colOff>137160</xdr:colOff>
      <xdr:row>26</xdr:row>
      <xdr:rowOff>60960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31"/>
  <sheetViews>
    <sheetView tabSelected="1" workbookViewId="0">
      <selection activeCell="G21" sqref="G21"/>
    </sheetView>
  </sheetViews>
  <sheetFormatPr defaultRowHeight="14.4" x14ac:dyDescent="0.3"/>
  <cols>
    <col min="2" max="2" width="13.77734375" bestFit="1" customWidth="1"/>
    <col min="3" max="3" width="19.44140625" bestFit="1" customWidth="1"/>
    <col min="4" max="4" width="10.5546875" bestFit="1" customWidth="1"/>
    <col min="5" max="5" width="13.21875" bestFit="1" customWidth="1"/>
    <col min="6" max="6" width="13.109375" bestFit="1" customWidth="1"/>
    <col min="9" max="9" width="28.77734375" bestFit="1" customWidth="1"/>
  </cols>
  <sheetData>
    <row r="3" spans="2:9" x14ac:dyDescent="0.3">
      <c r="B3" s="1"/>
      <c r="C3" s="1" t="s">
        <v>0</v>
      </c>
      <c r="E3" t="s">
        <v>9</v>
      </c>
      <c r="F3" s="1" t="s">
        <v>1</v>
      </c>
      <c r="G3" s="1"/>
      <c r="H3" s="1" t="s">
        <v>7</v>
      </c>
      <c r="I3" s="1" t="s">
        <v>8</v>
      </c>
    </row>
    <row r="4" spans="2:9" x14ac:dyDescent="0.3">
      <c r="B4" s="2" t="s">
        <v>3</v>
      </c>
      <c r="C4" s="1" t="str">
        <f>CONCATENATE(ROUND(E4,3)," ",G4," ",ROUND(F4,3))</f>
        <v>0.802 ± 0.076</v>
      </c>
      <c r="E4" s="5">
        <v>0.80178662165588532</v>
      </c>
      <c r="F4" s="5">
        <v>7.5534559984676578E-2</v>
      </c>
      <c r="G4" s="4" t="s">
        <v>6</v>
      </c>
      <c r="H4" s="1">
        <f t="shared" ref="H4:H6" si="0">(0-E4)/F4</f>
        <v>-10.61483143369791</v>
      </c>
      <c r="I4" s="7">
        <f t="shared" ref="I4:I6" si="1">_xlfn.NORM.DIST(0, E4, F4, TRUE)</f>
        <v>1.2712646334462858E-26</v>
      </c>
    </row>
    <row r="5" spans="2:9" x14ac:dyDescent="0.3">
      <c r="B5" s="2" t="s">
        <v>4</v>
      </c>
      <c r="C5" s="1" t="str">
        <f>CONCATENATE(ROUND(E5,3)," ",G5," ",ROUND(F5,4))</f>
        <v>0.003 ± 0.0001</v>
      </c>
      <c r="E5" s="5">
        <v>2.7121876197668E-3</v>
      </c>
      <c r="F5" s="5">
        <v>1.4989704318352025E-4</v>
      </c>
      <c r="G5" s="4" t="s">
        <v>6</v>
      </c>
      <c r="H5" s="1">
        <f t="shared" si="0"/>
        <v>-18.093669909460758</v>
      </c>
      <c r="I5" s="7">
        <f>_xlfn.NORM.DIST(0, E5, F5, TRUE)</f>
        <v>1.7873501257391694E-73</v>
      </c>
    </row>
    <row r="6" spans="2:9" x14ac:dyDescent="0.3">
      <c r="B6" s="1" t="s">
        <v>5</v>
      </c>
      <c r="C6" s="1" t="str">
        <f>CONCATENATE(ROUND(E6,3)," ",G6," ",ROUND(F6,3))</f>
        <v>1.105 ± 0.077</v>
      </c>
      <c r="E6" s="5">
        <v>1.1054791277131544</v>
      </c>
      <c r="F6" s="5">
        <v>7.6543853735967657E-2</v>
      </c>
      <c r="G6" s="4" t="s">
        <v>6</v>
      </c>
      <c r="H6" s="1">
        <f t="shared" si="0"/>
        <v>-14.442428408771038</v>
      </c>
      <c r="I6" s="7">
        <f t="shared" si="1"/>
        <v>1.3990357990563229E-47</v>
      </c>
    </row>
    <row r="7" spans="2:9" x14ac:dyDescent="0.3">
      <c r="B7" s="1"/>
      <c r="C7" s="1"/>
      <c r="E7" s="5"/>
      <c r="F7" s="5"/>
      <c r="G7" s="1"/>
      <c r="H7" s="1"/>
      <c r="I7" s="7"/>
    </row>
    <row r="8" spans="2:9" x14ac:dyDescent="0.3">
      <c r="B8" s="1"/>
      <c r="C8" s="1" t="s">
        <v>2</v>
      </c>
      <c r="E8" s="6" t="s">
        <v>9</v>
      </c>
      <c r="F8" s="5" t="s">
        <v>1</v>
      </c>
      <c r="G8" s="1"/>
      <c r="H8" s="1"/>
      <c r="I8" s="7"/>
    </row>
    <row r="9" spans="2:9" x14ac:dyDescent="0.3">
      <c r="B9" s="2" t="s">
        <v>3</v>
      </c>
      <c r="C9" s="1" t="str">
        <f>CONCATENATE(ROUND(E9,3)," ",G9," ",ROUND(F9,3))</f>
        <v>0.164 ± 0.009</v>
      </c>
      <c r="E9" s="5">
        <v>0.16375438186795033</v>
      </c>
      <c r="F9" s="5">
        <v>9.2338827454924617E-3</v>
      </c>
      <c r="G9" s="4" t="s">
        <v>6</v>
      </c>
      <c r="H9" s="1">
        <f t="shared" ref="H9:H10" si="2">(0-E9)/F9</f>
        <v>-17.734076377338379</v>
      </c>
      <c r="I9" s="7">
        <f t="shared" ref="I9:I10" si="3">_xlfn.NORM.DIST(0, E9, F9, TRUE)</f>
        <v>1.1441279169464315E-70</v>
      </c>
    </row>
    <row r="10" spans="2:9" x14ac:dyDescent="0.3">
      <c r="B10" s="2" t="s">
        <v>4</v>
      </c>
      <c r="C10" s="1" t="str">
        <f>CONCATENATE(ROUND(E10,3)," ",G10," ",ROUND(F10,3))</f>
        <v>0.238 ± 0.011</v>
      </c>
      <c r="E10" s="5">
        <v>0.23755267695118729</v>
      </c>
      <c r="F10" s="5">
        <v>1.0583270623559415E-2</v>
      </c>
      <c r="G10" s="4" t="s">
        <v>6</v>
      </c>
      <c r="H10" s="1">
        <f t="shared" si="2"/>
        <v>-22.446055231959331</v>
      </c>
      <c r="I10" s="7">
        <f t="shared" si="3"/>
        <v>6.9922626207686558E-112</v>
      </c>
    </row>
    <row r="11" spans="2:9" x14ac:dyDescent="0.3">
      <c r="B11" s="1" t="s">
        <v>5</v>
      </c>
      <c r="C11" s="1" t="str">
        <f>CONCATENATE(ROUND(E11,3)," ",G11," ",ROUND(F11,3))</f>
        <v>0.003 ± 0.012</v>
      </c>
      <c r="E11" s="5">
        <v>3.2334321951845214E-3</v>
      </c>
      <c r="F11" s="5">
        <v>1.1788293317115853E-2</v>
      </c>
      <c r="G11" s="4" t="s">
        <v>6</v>
      </c>
      <c r="H11" s="1">
        <f>(0-E11)/F11</f>
        <v>-0.27429180019551969</v>
      </c>
      <c r="I11" s="7">
        <f>_xlfn.NORM.DIST(0, E11, F11, TRUE)</f>
        <v>0.39193019272855339</v>
      </c>
    </row>
    <row r="12" spans="2:9" x14ac:dyDescent="0.3">
      <c r="B12" s="1"/>
      <c r="C12" s="1"/>
      <c r="D12" s="1"/>
      <c r="E12" s="1"/>
    </row>
    <row r="13" spans="2:9" x14ac:dyDescent="0.3">
      <c r="B13" s="1"/>
      <c r="C13" s="1"/>
      <c r="D13" s="1"/>
      <c r="E13" s="1"/>
    </row>
    <row r="14" spans="2:9" x14ac:dyDescent="0.3">
      <c r="B14" s="1"/>
      <c r="C14" s="1"/>
      <c r="D14" s="1"/>
      <c r="E14" s="1"/>
    </row>
    <row r="15" spans="2:9" x14ac:dyDescent="0.3">
      <c r="E15" s="1"/>
    </row>
    <row r="16" spans="2:9" x14ac:dyDescent="0.3">
      <c r="E16" s="1"/>
    </row>
    <row r="17" spans="3:5" x14ac:dyDescent="0.3">
      <c r="E17" s="1"/>
    </row>
    <row r="18" spans="3:5" x14ac:dyDescent="0.3">
      <c r="E18" s="1"/>
    </row>
    <row r="28" spans="3:5" x14ac:dyDescent="0.3">
      <c r="C28" s="1"/>
      <c r="D28" s="1"/>
    </row>
    <row r="29" spans="3:5" x14ac:dyDescent="0.3">
      <c r="C29" s="3"/>
      <c r="D29" s="3"/>
    </row>
    <row r="30" spans="3:5" x14ac:dyDescent="0.3">
      <c r="C30" s="3"/>
      <c r="D30" s="3"/>
    </row>
    <row r="31" spans="3:5" x14ac:dyDescent="0.3">
      <c r="C31" s="3"/>
      <c r="D31" s="3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C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Olavarria Gamez, Karel</cp:lastModifiedBy>
  <dcterms:created xsi:type="dcterms:W3CDTF">2023-10-24T14:48:54Z</dcterms:created>
  <dcterms:modified xsi:type="dcterms:W3CDTF">2023-12-18T12:21:47Z</dcterms:modified>
</cp:coreProperties>
</file>