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ony Vaio\Documents\manuscript Carboxylative Glycolysis\NATURE\public available code and data\"/>
    </mc:Choice>
  </mc:AlternateContent>
  <bookViews>
    <workbookView xWindow="11325" yWindow="0" windowWidth="11715" windowHeight="12240"/>
  </bookViews>
  <sheets>
    <sheet name="global stoichiometry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2" l="1"/>
  <c r="M26" i="2"/>
  <c r="L26" i="2"/>
  <c r="K26" i="2"/>
  <c r="J26" i="2"/>
  <c r="I26" i="2"/>
  <c r="M25" i="2"/>
  <c r="L25" i="2"/>
  <c r="K25" i="2"/>
  <c r="J25" i="2"/>
  <c r="I25" i="2"/>
  <c r="M24" i="2"/>
  <c r="L24" i="2"/>
  <c r="K24" i="2"/>
  <c r="J24" i="2"/>
  <c r="I24" i="2"/>
  <c r="M23" i="2"/>
  <c r="L23" i="2"/>
  <c r="K23" i="2"/>
  <c r="J23" i="2"/>
  <c r="I23" i="2"/>
  <c r="M22" i="2"/>
  <c r="L22" i="2"/>
  <c r="K22" i="2"/>
  <c r="J22" i="2"/>
  <c r="I22" i="2"/>
  <c r="M21" i="2"/>
  <c r="L21" i="2"/>
  <c r="K21" i="2"/>
  <c r="J21" i="2"/>
  <c r="I21" i="2"/>
  <c r="M20" i="2"/>
  <c r="L20" i="2"/>
  <c r="K20" i="2"/>
  <c r="J20" i="2"/>
  <c r="I20" i="2"/>
  <c r="M19" i="2"/>
  <c r="L19" i="2"/>
  <c r="K19" i="2"/>
  <c r="J19" i="2"/>
  <c r="I19" i="2"/>
  <c r="M18" i="2"/>
  <c r="L18" i="2"/>
  <c r="K18" i="2"/>
  <c r="J18" i="2"/>
  <c r="I18" i="2"/>
  <c r="M17" i="2"/>
  <c r="L17" i="2"/>
  <c r="K17" i="2"/>
  <c r="J17" i="2"/>
  <c r="M16" i="2"/>
  <c r="L16" i="2"/>
  <c r="K16" i="2"/>
  <c r="J16" i="2"/>
  <c r="I16" i="2"/>
  <c r="I12" i="2"/>
  <c r="J12" i="2"/>
  <c r="K12" i="2"/>
  <c r="L12" i="2"/>
  <c r="M12" i="2"/>
  <c r="K27" i="2" l="1"/>
  <c r="I27" i="2"/>
  <c r="J27" i="2"/>
  <c r="M27" i="2"/>
  <c r="L27" i="2"/>
  <c r="M10" i="2"/>
  <c r="J10" i="2"/>
  <c r="K10" i="2"/>
  <c r="L10" i="2"/>
  <c r="J9" i="2"/>
  <c r="K9" i="2"/>
  <c r="L9" i="2"/>
  <c r="M9" i="2"/>
  <c r="I9" i="2"/>
  <c r="I10" i="2"/>
  <c r="M7" i="2"/>
  <c r="L7" i="2"/>
  <c r="K7" i="2"/>
  <c r="J7" i="2"/>
  <c r="I7" i="2"/>
  <c r="I4" i="2" l="1"/>
  <c r="I2" i="2"/>
  <c r="J2" i="2"/>
  <c r="K2" i="2"/>
  <c r="L2" i="2"/>
  <c r="M2" i="2"/>
  <c r="I11" i="2"/>
  <c r="J11" i="2"/>
  <c r="K11" i="2"/>
  <c r="L11" i="2"/>
  <c r="M11" i="2"/>
  <c r="I3" i="2"/>
  <c r="J3" i="2"/>
  <c r="K3" i="2"/>
  <c r="L3" i="2"/>
  <c r="M3" i="2"/>
  <c r="I6" i="2"/>
  <c r="J6" i="2"/>
  <c r="K6" i="2"/>
  <c r="L6" i="2"/>
  <c r="M6" i="2"/>
  <c r="I5" i="2"/>
  <c r="J5" i="2"/>
  <c r="K5" i="2"/>
  <c r="L5" i="2"/>
  <c r="M5" i="2"/>
  <c r="I8" i="2"/>
  <c r="J8" i="2"/>
  <c r="K8" i="2"/>
  <c r="L8" i="2"/>
  <c r="M8" i="2"/>
  <c r="J4" i="2"/>
  <c r="K4" i="2"/>
  <c r="L4" i="2"/>
  <c r="M4" i="2"/>
  <c r="J13" i="2" l="1"/>
  <c r="M13" i="2"/>
  <c r="I13" i="2"/>
  <c r="K13" i="2"/>
  <c r="L13" i="2"/>
</calcChain>
</file>

<file path=xl/sharedStrings.xml><?xml version="1.0" encoding="utf-8"?>
<sst xmlns="http://schemas.openxmlformats.org/spreadsheetml/2006/main" count="48" uniqueCount="20">
  <si>
    <t>C</t>
  </si>
  <si>
    <t>H</t>
  </si>
  <si>
    <t>O</t>
  </si>
  <si>
    <t>N</t>
  </si>
  <si>
    <t>P</t>
  </si>
  <si>
    <t>SUM</t>
  </si>
  <si>
    <t>exchange fluxes</t>
  </si>
  <si>
    <t>EX_PolyPP</t>
  </si>
  <si>
    <t>EX_PolyP</t>
  </si>
  <si>
    <t>EX_PHB</t>
  </si>
  <si>
    <t>EX_Mal4</t>
  </si>
  <si>
    <t>EX_Mal3</t>
  </si>
  <si>
    <t>EX_Ace</t>
  </si>
  <si>
    <t>EX_Pi</t>
  </si>
  <si>
    <t>EX_CO2</t>
  </si>
  <si>
    <t>EX_HB</t>
  </si>
  <si>
    <t>EX_H2O</t>
  </si>
  <si>
    <t>NTS</t>
  </si>
  <si>
    <t>EMP</t>
  </si>
  <si>
    <t>EX_PPi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</si>
</sst>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6" formatCode="0.0"/>
  </numFmts>
  <fonts count="4" x14ac:knownFonts="1">
    <font>
      <sz val="11"/>
      <color theme="1"/>
      <name val="Calibri"/>
      <family val="2"/>
      <scheme val="minor"/>
    </font>
    <font>
      <sz val="8"/>
      <color rgb="FF000000"/>
      <name val="Courier New"/>
      <family val="3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16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7"/>
  <sheetViews>
    <sheetView tabSelected="1" workbookViewId="0">
      <selection activeCell="Q12" sqref="Q12"/>
    </sheetView>
  </sheetViews>
  <sheetFormatPr defaultRowHeight="15" x14ac:dyDescent="0.25"/>
  <cols>
    <col min="1" max="1" width="9.42578125" style="4" bestFit="1" customWidth="1"/>
    <col min="2" max="2" width="15.42578125" style="1" bestFit="1" customWidth="1"/>
    <col min="3" max="5" width="3" style="1" bestFit="1" customWidth="1"/>
    <col min="6" max="6" width="2.28515625" style="1" bestFit="1" customWidth="1"/>
    <col min="7" max="7" width="2.140625" style="1" bestFit="1" customWidth="1"/>
    <col min="8" max="8" width="5.140625" style="1" bestFit="1" customWidth="1"/>
    <col min="9" max="11" width="7.28515625" style="1" bestFit="1" customWidth="1"/>
    <col min="12" max="12" width="5.5703125" style="1" bestFit="1" customWidth="1"/>
    <col min="13" max="13" width="6.28515625" style="1" bestFit="1" customWidth="1"/>
    <col min="14" max="14" width="9.42578125" style="1" customWidth="1"/>
    <col min="15" max="15" width="10.85546875" bestFit="1" customWidth="1"/>
    <col min="16" max="16" width="4.7109375" customWidth="1"/>
    <col min="17" max="17" width="4" customWidth="1"/>
    <col min="18" max="18" width="3.28515625" customWidth="1"/>
    <col min="19" max="19" width="2.5703125" customWidth="1"/>
    <col min="21" max="21" width="6.7109375" customWidth="1"/>
    <col min="22" max="22" width="5.140625" customWidth="1"/>
    <col min="23" max="23" width="5.28515625" bestFit="1" customWidth="1"/>
    <col min="24" max="24" width="4.7109375" customWidth="1"/>
    <col min="25" max="25" width="6.28515625" customWidth="1"/>
  </cols>
  <sheetData>
    <row r="1" spans="1:25" x14ac:dyDescent="0.25">
      <c r="A1" s="1" t="s">
        <v>17</v>
      </c>
      <c r="B1" s="5" t="s">
        <v>6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/>
      <c r="I1" s="5" t="s">
        <v>0</v>
      </c>
      <c r="J1" s="5" t="s">
        <v>1</v>
      </c>
      <c r="K1" s="5" t="s">
        <v>2</v>
      </c>
      <c r="L1" s="5" t="s">
        <v>3</v>
      </c>
      <c r="M1" s="5" t="s">
        <v>4</v>
      </c>
      <c r="N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5">
      <c r="A2" s="9" t="s">
        <v>12</v>
      </c>
      <c r="B2" s="1">
        <v>-2.4</v>
      </c>
      <c r="C2" s="1">
        <v>2</v>
      </c>
      <c r="D2" s="1">
        <v>4</v>
      </c>
      <c r="E2" s="1">
        <v>2</v>
      </c>
      <c r="F2" s="1">
        <v>0</v>
      </c>
      <c r="G2" s="1">
        <v>0</v>
      </c>
      <c r="I2" s="10">
        <f>$B2*C2</f>
        <v>-4.8</v>
      </c>
      <c r="J2" s="10">
        <f>$B2*D2</f>
        <v>-9.6</v>
      </c>
      <c r="K2" s="10">
        <f>$B2*E2</f>
        <v>-4.8</v>
      </c>
      <c r="L2" s="10">
        <f>$B2*F2</f>
        <v>0</v>
      </c>
      <c r="M2" s="10">
        <f>$B2*G2</f>
        <v>0</v>
      </c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25">
      <c r="A3" s="9" t="s">
        <v>14</v>
      </c>
      <c r="B3" s="1">
        <v>1.2</v>
      </c>
      <c r="C3" s="1">
        <v>1</v>
      </c>
      <c r="D3" s="1">
        <v>0</v>
      </c>
      <c r="E3" s="1">
        <v>2</v>
      </c>
      <c r="F3" s="1">
        <v>0</v>
      </c>
      <c r="G3" s="1">
        <v>0</v>
      </c>
      <c r="I3" s="10">
        <f>$B3*C3</f>
        <v>1.2</v>
      </c>
      <c r="J3" s="10">
        <f>$B3*D3</f>
        <v>0</v>
      </c>
      <c r="K3" s="10">
        <f>$B3*E3</f>
        <v>2.4</v>
      </c>
      <c r="L3" s="10">
        <f>$B3*F3</f>
        <v>0</v>
      </c>
      <c r="M3" s="10">
        <f>$B3*G3</f>
        <v>0</v>
      </c>
      <c r="N3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25">
      <c r="A4" s="9" t="s">
        <v>11</v>
      </c>
      <c r="B4" s="1">
        <v>1</v>
      </c>
      <c r="C4" s="1">
        <v>18</v>
      </c>
      <c r="D4" s="1">
        <v>32</v>
      </c>
      <c r="E4" s="1">
        <v>16</v>
      </c>
      <c r="F4" s="1">
        <v>0</v>
      </c>
      <c r="G4" s="1">
        <v>0</v>
      </c>
      <c r="I4" s="10">
        <f>$B4*C4</f>
        <v>18</v>
      </c>
      <c r="J4" s="10">
        <f>$B4*D4</f>
        <v>32</v>
      </c>
      <c r="K4" s="10">
        <f>$B4*E4</f>
        <v>16</v>
      </c>
      <c r="L4" s="10">
        <f>$B4*F4</f>
        <v>0</v>
      </c>
      <c r="M4" s="10">
        <f>$B4*G4</f>
        <v>0</v>
      </c>
      <c r="N4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x14ac:dyDescent="0.25">
      <c r="A5" s="9" t="s">
        <v>10</v>
      </c>
      <c r="B5" s="1">
        <v>-1</v>
      </c>
      <c r="C5" s="1">
        <v>24</v>
      </c>
      <c r="D5" s="1">
        <v>42</v>
      </c>
      <c r="E5" s="1">
        <v>21</v>
      </c>
      <c r="F5" s="1">
        <v>0</v>
      </c>
      <c r="G5" s="1">
        <v>0</v>
      </c>
      <c r="I5" s="10">
        <f>$B5*C5</f>
        <v>-24</v>
      </c>
      <c r="J5" s="10">
        <f>$B5*D5</f>
        <v>-42</v>
      </c>
      <c r="K5" s="10">
        <f>$B5*E5</f>
        <v>-21</v>
      </c>
      <c r="L5" s="10">
        <f>$B5*F5</f>
        <v>0</v>
      </c>
      <c r="M5" s="10">
        <f>$B5*G5</f>
        <v>0</v>
      </c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25">
      <c r="A6" s="9" t="s">
        <v>15</v>
      </c>
      <c r="B6" s="1">
        <v>-2.4</v>
      </c>
      <c r="C6" s="1">
        <v>4</v>
      </c>
      <c r="D6" s="1">
        <v>7</v>
      </c>
      <c r="E6" s="1">
        <v>3</v>
      </c>
      <c r="F6" s="1">
        <v>0</v>
      </c>
      <c r="G6" s="1">
        <v>0</v>
      </c>
      <c r="I6" s="10">
        <f>$B6*C6</f>
        <v>-9.6</v>
      </c>
      <c r="J6" s="10">
        <f>$B6*D6</f>
        <v>-16.8</v>
      </c>
      <c r="K6" s="10">
        <f>$B6*E6</f>
        <v>-7.1999999999999993</v>
      </c>
      <c r="L6" s="10">
        <f>$B6*F6</f>
        <v>0</v>
      </c>
      <c r="M6" s="10">
        <f>$B6*G6</f>
        <v>0</v>
      </c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x14ac:dyDescent="0.25">
      <c r="A7" s="9" t="s">
        <v>9</v>
      </c>
      <c r="B7" s="1">
        <v>2.4</v>
      </c>
      <c r="C7" s="1">
        <v>8</v>
      </c>
      <c r="D7" s="1">
        <v>13</v>
      </c>
      <c r="E7" s="1">
        <v>5</v>
      </c>
      <c r="F7" s="1">
        <v>0</v>
      </c>
      <c r="G7" s="1">
        <v>0</v>
      </c>
      <c r="I7" s="10">
        <f>$B7*C7</f>
        <v>19.2</v>
      </c>
      <c r="J7" s="10">
        <f>$B7*D7</f>
        <v>31.2</v>
      </c>
      <c r="K7" s="10">
        <f>$B7*E7</f>
        <v>12</v>
      </c>
      <c r="L7" s="10">
        <f>$B7*F7</f>
        <v>0</v>
      </c>
      <c r="M7" s="10">
        <f>$B7*G7</f>
        <v>0</v>
      </c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x14ac:dyDescent="0.25">
      <c r="A8" s="9" t="s">
        <v>16</v>
      </c>
      <c r="B8" s="1">
        <v>0.79999999999999905</v>
      </c>
      <c r="C8" s="1">
        <v>0</v>
      </c>
      <c r="D8" s="1">
        <v>2</v>
      </c>
      <c r="E8" s="1">
        <v>1</v>
      </c>
      <c r="F8" s="1">
        <v>0</v>
      </c>
      <c r="G8" s="1">
        <v>0</v>
      </c>
      <c r="I8" s="10">
        <f>$B8*C8</f>
        <v>0</v>
      </c>
      <c r="J8" s="10">
        <f>$B8*D8</f>
        <v>1.5999999999999981</v>
      </c>
      <c r="K8" s="10">
        <f>$B8*E8</f>
        <v>0.79999999999999905</v>
      </c>
      <c r="L8" s="10">
        <f>$B8*F8</f>
        <v>0</v>
      </c>
      <c r="M8" s="10">
        <f>$B8*G8</f>
        <v>0</v>
      </c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x14ac:dyDescent="0.25">
      <c r="A9" s="9" t="s">
        <v>7</v>
      </c>
      <c r="B9" s="1">
        <v>-1.7999999999999901</v>
      </c>
      <c r="C9" s="1">
        <v>0</v>
      </c>
      <c r="D9" s="1">
        <v>4</v>
      </c>
      <c r="E9" s="1">
        <v>7</v>
      </c>
      <c r="F9" s="1">
        <v>0</v>
      </c>
      <c r="G9" s="1">
        <v>2</v>
      </c>
      <c r="I9" s="10">
        <f>$B9*C9</f>
        <v>0</v>
      </c>
      <c r="J9" s="10">
        <f>$B9*D9</f>
        <v>-7.1999999999999602</v>
      </c>
      <c r="K9" s="10">
        <f>$B9*E9</f>
        <v>-12.59999999999993</v>
      </c>
      <c r="L9" s="10">
        <f>$B9*F9</f>
        <v>0</v>
      </c>
      <c r="M9" s="10">
        <f>$B9*G9</f>
        <v>-3.5999999999999801</v>
      </c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25">
      <c r="A10" s="9" t="s">
        <v>8</v>
      </c>
      <c r="B10" s="1">
        <v>1.7999999999999901</v>
      </c>
      <c r="C10" s="1">
        <v>0</v>
      </c>
      <c r="D10" s="1">
        <v>3</v>
      </c>
      <c r="E10" s="1">
        <v>4</v>
      </c>
      <c r="F10" s="1">
        <v>0</v>
      </c>
      <c r="G10" s="1">
        <v>1</v>
      </c>
      <c r="I10" s="10">
        <f>$B10*C10</f>
        <v>0</v>
      </c>
      <c r="J10" s="10">
        <f>$B10*D10</f>
        <v>5.3999999999999702</v>
      </c>
      <c r="K10" s="10">
        <f>$B10*E10</f>
        <v>7.1999999999999602</v>
      </c>
      <c r="L10" s="10">
        <f>$B10*F10</f>
        <v>0</v>
      </c>
      <c r="M10" s="10">
        <f>$B10*G10</f>
        <v>1.7999999999999901</v>
      </c>
      <c r="O10" s="3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25">
      <c r="A11" s="9" t="s">
        <v>13</v>
      </c>
      <c r="B11" s="1">
        <v>1.7999999999999901</v>
      </c>
      <c r="C11" s="7">
        <v>0</v>
      </c>
      <c r="D11" s="7">
        <v>3</v>
      </c>
      <c r="E11" s="7">
        <v>4</v>
      </c>
      <c r="F11" s="7">
        <v>0</v>
      </c>
      <c r="G11" s="7">
        <v>1</v>
      </c>
      <c r="I11" s="10">
        <f>$B11*C11</f>
        <v>0</v>
      </c>
      <c r="J11" s="10">
        <f>$B11*D11</f>
        <v>5.3999999999999702</v>
      </c>
      <c r="K11" s="10">
        <f>$B11*E11</f>
        <v>7.1999999999999602</v>
      </c>
      <c r="L11" s="10">
        <f>$B11*F11</f>
        <v>0</v>
      </c>
      <c r="M11" s="10">
        <f>$B11*G11</f>
        <v>1.7999999999999901</v>
      </c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x14ac:dyDescent="0.25">
      <c r="A12" s="4" t="s">
        <v>19</v>
      </c>
      <c r="B12" s="1">
        <v>0</v>
      </c>
      <c r="C12" s="1">
        <v>0</v>
      </c>
      <c r="D12" s="1">
        <v>4</v>
      </c>
      <c r="E12" s="1">
        <v>7</v>
      </c>
      <c r="F12" s="1">
        <v>0</v>
      </c>
      <c r="G12" s="1">
        <v>2</v>
      </c>
      <c r="I12" s="10">
        <f>$B12*C12</f>
        <v>0</v>
      </c>
      <c r="J12" s="10">
        <f>$B12*D12</f>
        <v>0</v>
      </c>
      <c r="K12" s="10">
        <f>$B12*E12</f>
        <v>0</v>
      </c>
      <c r="L12" s="10">
        <f>$B12*F12</f>
        <v>0</v>
      </c>
      <c r="M12" s="10">
        <f>$B12*G12</f>
        <v>0</v>
      </c>
      <c r="P12" s="1"/>
      <c r="Q12" s="1"/>
      <c r="R12" s="1"/>
      <c r="S12" s="1"/>
    </row>
    <row r="13" spans="1:25" x14ac:dyDescent="0.25">
      <c r="H13" s="5" t="s">
        <v>5</v>
      </c>
      <c r="I13" s="8">
        <f>SUM(I2:I12)</f>
        <v>0</v>
      </c>
      <c r="J13" s="8">
        <f t="shared" ref="J13:M13" si="0">SUM(J2:J12)</f>
        <v>-2.8421709430404007E-14</v>
      </c>
      <c r="K13" s="8">
        <f t="shared" si="0"/>
        <v>-1.0658141036401503E-14</v>
      </c>
      <c r="L13" s="8">
        <f t="shared" si="0"/>
        <v>0</v>
      </c>
      <c r="M13" s="8">
        <f t="shared" si="0"/>
        <v>0</v>
      </c>
      <c r="T13" s="1"/>
      <c r="U13" s="2"/>
      <c r="V13" s="2"/>
      <c r="W13" s="2"/>
      <c r="X13" s="2"/>
      <c r="Y13" s="2"/>
    </row>
    <row r="14" spans="1:25" x14ac:dyDescent="0.25">
      <c r="A14" s="1"/>
      <c r="N14" s="6"/>
    </row>
    <row r="15" spans="1:25" x14ac:dyDescent="0.25">
      <c r="A15" s="1" t="s">
        <v>18</v>
      </c>
      <c r="B15" s="5" t="s">
        <v>6</v>
      </c>
      <c r="C15" s="5" t="s">
        <v>0</v>
      </c>
      <c r="D15" s="5" t="s">
        <v>1</v>
      </c>
      <c r="E15" s="5" t="s">
        <v>2</v>
      </c>
      <c r="F15" s="5" t="s">
        <v>3</v>
      </c>
      <c r="G15" s="5" t="s">
        <v>4</v>
      </c>
      <c r="H15" s="5"/>
      <c r="I15" s="5" t="s">
        <v>0</v>
      </c>
      <c r="J15" s="5" t="s">
        <v>1</v>
      </c>
      <c r="K15" s="5" t="s">
        <v>2</v>
      </c>
      <c r="L15" s="5" t="s">
        <v>3</v>
      </c>
      <c r="M15" s="5" t="s">
        <v>4</v>
      </c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x14ac:dyDescent="0.25">
      <c r="A16" s="9" t="s">
        <v>12</v>
      </c>
      <c r="B16" s="1">
        <v>-6</v>
      </c>
      <c r="C16" s="1">
        <v>2</v>
      </c>
      <c r="D16" s="1">
        <v>4</v>
      </c>
      <c r="E16" s="1">
        <v>2</v>
      </c>
      <c r="F16" s="1">
        <v>0</v>
      </c>
      <c r="G16" s="1">
        <v>0</v>
      </c>
      <c r="I16" s="10">
        <f>$B16*C16</f>
        <v>-12</v>
      </c>
      <c r="J16" s="10">
        <f>$B16*D16</f>
        <v>-24</v>
      </c>
      <c r="K16" s="10">
        <f>$B16*E16</f>
        <v>-12</v>
      </c>
      <c r="L16" s="10">
        <f>$B16*F16</f>
        <v>0</v>
      </c>
      <c r="M16" s="10">
        <f>$B16*G16</f>
        <v>0</v>
      </c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x14ac:dyDescent="0.25">
      <c r="A17" s="9" t="s">
        <v>14</v>
      </c>
      <c r="B17" s="1">
        <v>2</v>
      </c>
      <c r="C17" s="1">
        <v>1</v>
      </c>
      <c r="D17" s="1">
        <v>0</v>
      </c>
      <c r="E17" s="1">
        <v>2</v>
      </c>
      <c r="F17" s="1">
        <v>0</v>
      </c>
      <c r="G17" s="1">
        <v>0</v>
      </c>
      <c r="I17" s="10">
        <f>$B17*C17</f>
        <v>2</v>
      </c>
      <c r="J17" s="10">
        <f>$B17*D17</f>
        <v>0</v>
      </c>
      <c r="K17" s="10">
        <f>$B17*E17</f>
        <v>4</v>
      </c>
      <c r="L17" s="10">
        <f>$B17*F17</f>
        <v>0</v>
      </c>
      <c r="M17" s="10">
        <f>$B17*G17</f>
        <v>0</v>
      </c>
      <c r="Y17" s="1"/>
    </row>
    <row r="18" spans="1:25" x14ac:dyDescent="0.25">
      <c r="A18" s="9" t="s">
        <v>11</v>
      </c>
      <c r="B18" s="1">
        <v>1</v>
      </c>
      <c r="C18" s="1">
        <v>18</v>
      </c>
      <c r="D18" s="1">
        <v>32</v>
      </c>
      <c r="E18" s="1">
        <v>16</v>
      </c>
      <c r="F18" s="1">
        <v>0</v>
      </c>
      <c r="G18" s="1">
        <v>0</v>
      </c>
      <c r="I18" s="10">
        <f>$B18*C18</f>
        <v>18</v>
      </c>
      <c r="J18" s="10">
        <f>$B18*D18</f>
        <v>32</v>
      </c>
      <c r="K18" s="10">
        <f>$B18*E18</f>
        <v>16</v>
      </c>
      <c r="L18" s="10">
        <f>$B18*F18</f>
        <v>0</v>
      </c>
      <c r="M18" s="10">
        <f>$B18*G18</f>
        <v>0</v>
      </c>
      <c r="Y18" s="1"/>
    </row>
    <row r="19" spans="1:25" x14ac:dyDescent="0.25">
      <c r="A19" s="9" t="s">
        <v>10</v>
      </c>
      <c r="B19" s="1">
        <v>-1</v>
      </c>
      <c r="C19" s="1">
        <v>24</v>
      </c>
      <c r="D19" s="1">
        <v>42</v>
      </c>
      <c r="E19" s="1">
        <v>21</v>
      </c>
      <c r="F19" s="1">
        <v>0</v>
      </c>
      <c r="G19" s="1">
        <v>0</v>
      </c>
      <c r="I19" s="10">
        <f>$B19*C19</f>
        <v>-24</v>
      </c>
      <c r="J19" s="10">
        <f>$B19*D19</f>
        <v>-42</v>
      </c>
      <c r="K19" s="10">
        <f>$B19*E19</f>
        <v>-21</v>
      </c>
      <c r="L19" s="10">
        <f>$B19*F19</f>
        <v>0</v>
      </c>
      <c r="M19" s="10">
        <f>$B19*G19</f>
        <v>0</v>
      </c>
      <c r="Y19" s="1"/>
    </row>
    <row r="20" spans="1:25" x14ac:dyDescent="0.25">
      <c r="A20" s="9" t="s">
        <v>15</v>
      </c>
      <c r="B20" s="1">
        <v>-4</v>
      </c>
      <c r="C20" s="1">
        <v>4</v>
      </c>
      <c r="D20" s="1">
        <v>7</v>
      </c>
      <c r="E20" s="1">
        <v>3</v>
      </c>
      <c r="F20" s="1">
        <v>0</v>
      </c>
      <c r="G20" s="1">
        <v>0</v>
      </c>
      <c r="I20" s="10">
        <f>$B20*C20</f>
        <v>-16</v>
      </c>
      <c r="J20" s="10">
        <f>$B20*D20</f>
        <v>-28</v>
      </c>
      <c r="K20" s="10">
        <f>$B20*E20</f>
        <v>-12</v>
      </c>
      <c r="L20" s="10">
        <f>$B20*F20</f>
        <v>0</v>
      </c>
      <c r="M20" s="10">
        <f>$B20*G20</f>
        <v>0</v>
      </c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x14ac:dyDescent="0.25">
      <c r="A21" s="9" t="s">
        <v>9</v>
      </c>
      <c r="B21" s="1">
        <v>4</v>
      </c>
      <c r="C21" s="1">
        <v>8</v>
      </c>
      <c r="D21" s="1">
        <v>13</v>
      </c>
      <c r="E21" s="1">
        <v>5</v>
      </c>
      <c r="F21" s="1">
        <v>0</v>
      </c>
      <c r="G21" s="1">
        <v>0</v>
      </c>
      <c r="I21" s="10">
        <f>$B21*C21</f>
        <v>32</v>
      </c>
      <c r="J21" s="10">
        <f>$B21*D21</f>
        <v>52</v>
      </c>
      <c r="K21" s="10">
        <f>$B21*E21</f>
        <v>20</v>
      </c>
      <c r="L21" s="10">
        <f>$B21*F21</f>
        <v>0</v>
      </c>
      <c r="M21" s="10">
        <f>$B21*G21</f>
        <v>0</v>
      </c>
      <c r="N21" s="2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x14ac:dyDescent="0.25">
      <c r="A22" s="9" t="s">
        <v>16</v>
      </c>
      <c r="B22" s="1">
        <v>1.5</v>
      </c>
      <c r="C22" s="1">
        <v>0</v>
      </c>
      <c r="D22" s="1">
        <v>2</v>
      </c>
      <c r="E22" s="1">
        <v>1</v>
      </c>
      <c r="F22" s="1">
        <v>0</v>
      </c>
      <c r="G22" s="1">
        <v>0</v>
      </c>
      <c r="I22" s="10">
        <f>$B22*C22</f>
        <v>0</v>
      </c>
      <c r="J22" s="10">
        <f>$B22*D22</f>
        <v>3</v>
      </c>
      <c r="K22" s="10">
        <f>$B22*E22</f>
        <v>1.5</v>
      </c>
      <c r="L22" s="10">
        <f>$B22*F22</f>
        <v>0</v>
      </c>
      <c r="M22" s="10">
        <f>$B22*G22</f>
        <v>0</v>
      </c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x14ac:dyDescent="0.25">
      <c r="A23" s="9" t="s">
        <v>7</v>
      </c>
      <c r="B23" s="1">
        <v>-7</v>
      </c>
      <c r="C23" s="1">
        <v>0</v>
      </c>
      <c r="D23" s="1">
        <v>4</v>
      </c>
      <c r="E23" s="1">
        <v>7</v>
      </c>
      <c r="F23" s="1">
        <v>0</v>
      </c>
      <c r="G23" s="1">
        <v>2</v>
      </c>
      <c r="I23" s="10">
        <f>$B23*C23</f>
        <v>0</v>
      </c>
      <c r="J23" s="10">
        <f>$B23*D23</f>
        <v>-28</v>
      </c>
      <c r="K23" s="10">
        <f>$B23*E23</f>
        <v>-49</v>
      </c>
      <c r="L23" s="10">
        <f>$B23*F23</f>
        <v>0</v>
      </c>
      <c r="M23" s="10">
        <f>$B23*G23</f>
        <v>-14</v>
      </c>
    </row>
    <row r="24" spans="1:25" x14ac:dyDescent="0.25">
      <c r="A24" s="9" t="s">
        <v>8</v>
      </c>
      <c r="B24" s="1">
        <v>7</v>
      </c>
      <c r="C24" s="1">
        <v>0</v>
      </c>
      <c r="D24" s="1">
        <v>3</v>
      </c>
      <c r="E24" s="1">
        <v>4</v>
      </c>
      <c r="F24" s="1">
        <v>0</v>
      </c>
      <c r="G24" s="1">
        <v>1</v>
      </c>
      <c r="I24" s="10">
        <f>$B24*C24</f>
        <v>0</v>
      </c>
      <c r="J24" s="10">
        <f>$B24*D24</f>
        <v>21</v>
      </c>
      <c r="K24" s="10">
        <f>$B24*E24</f>
        <v>28</v>
      </c>
      <c r="L24" s="10">
        <f>$B24*F24</f>
        <v>0</v>
      </c>
      <c r="M24" s="10">
        <f>$B24*G24</f>
        <v>7</v>
      </c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x14ac:dyDescent="0.25">
      <c r="A25" s="9" t="s">
        <v>13</v>
      </c>
      <c r="B25" s="1">
        <v>0</v>
      </c>
      <c r="C25" s="7">
        <v>0</v>
      </c>
      <c r="D25" s="7">
        <v>3</v>
      </c>
      <c r="E25" s="7">
        <v>4</v>
      </c>
      <c r="F25" s="7">
        <v>0</v>
      </c>
      <c r="G25" s="7">
        <v>1</v>
      </c>
      <c r="I25" s="10">
        <f>$B25*C25</f>
        <v>0</v>
      </c>
      <c r="J25" s="10">
        <f>$B25*D25</f>
        <v>0</v>
      </c>
      <c r="K25" s="10">
        <f>$B25*E25</f>
        <v>0</v>
      </c>
      <c r="L25" s="10">
        <f>$B25*F25</f>
        <v>0</v>
      </c>
      <c r="M25" s="10">
        <f>$B25*G25</f>
        <v>0</v>
      </c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x14ac:dyDescent="0.25">
      <c r="A26" s="4" t="s">
        <v>19</v>
      </c>
      <c r="B26" s="1">
        <v>3.5</v>
      </c>
      <c r="C26" s="1">
        <v>0</v>
      </c>
      <c r="D26" s="1">
        <v>4</v>
      </c>
      <c r="E26" s="1">
        <v>7</v>
      </c>
      <c r="F26" s="1">
        <v>0</v>
      </c>
      <c r="G26" s="1">
        <v>2</v>
      </c>
      <c r="I26" s="10">
        <f>$B26*C26</f>
        <v>0</v>
      </c>
      <c r="J26" s="10">
        <f>$B26*D26</f>
        <v>14</v>
      </c>
      <c r="K26" s="10">
        <f>$B26*E26</f>
        <v>24.5</v>
      </c>
      <c r="L26" s="10">
        <f>$B26*F26</f>
        <v>0</v>
      </c>
      <c r="M26" s="10">
        <f>$B26*G26</f>
        <v>7</v>
      </c>
      <c r="P26" s="1"/>
      <c r="Q26" s="1"/>
      <c r="R26" s="1"/>
      <c r="S26" s="1"/>
      <c r="T26" s="1"/>
      <c r="U26" s="2"/>
      <c r="V26" s="2"/>
      <c r="W26" s="2"/>
      <c r="X26" s="2"/>
      <c r="Y26" s="2"/>
    </row>
    <row r="27" spans="1:25" x14ac:dyDescent="0.25">
      <c r="H27" s="5" t="s">
        <v>5</v>
      </c>
      <c r="I27" s="8">
        <f>SUM(I16:I26)</f>
        <v>0</v>
      </c>
      <c r="J27" s="8">
        <f t="shared" ref="J27" si="1">SUM(J16:J26)</f>
        <v>0</v>
      </c>
      <c r="K27" s="8">
        <f t="shared" ref="K27" si="2">SUM(K16:K26)</f>
        <v>0</v>
      </c>
      <c r="L27" s="8">
        <f t="shared" ref="L27" si="3">SUM(L16:L26)</f>
        <v>0</v>
      </c>
      <c r="M27" s="8">
        <f t="shared" ref="M27" si="4">SUM(M16:M26)</f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global stoichiometry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2021-11-22T16:36:38Z</dcterms:created>
  <dcterms:modified xsi:type="dcterms:W3CDTF">2025-05-14T13:03:17Z</dcterms:modified>
</cp:coreProperties>
</file>