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y Vaio\Documents\manuscript Carboxylative Glycolysis\NATURE\"/>
    </mc:Choice>
  </mc:AlternateContent>
  <bookViews>
    <workbookView xWindow="-105" yWindow="-105" windowWidth="23250" windowHeight="12450"/>
  </bookViews>
  <sheets>
    <sheet name="Data from experiment" sheetId="1" r:id="rId1"/>
    <sheet name="PHAs calcul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O32" i="1"/>
  <c r="N32" i="1"/>
  <c r="M32" i="1"/>
  <c r="D24" i="1"/>
  <c r="D21" i="1" l="1"/>
  <c r="G21" i="1"/>
  <c r="M21" i="1"/>
  <c r="M23" i="1" s="1"/>
  <c r="N30" i="1" s="1"/>
  <c r="K13" i="1"/>
  <c r="K14" i="1"/>
  <c r="O21" i="1"/>
  <c r="J12" i="1"/>
  <c r="F12" i="1"/>
  <c r="O18" i="1"/>
  <c r="O24" i="1" l="1"/>
  <c r="M24" i="1"/>
  <c r="K24" i="1"/>
  <c r="G12" i="1"/>
  <c r="B13" i="1"/>
  <c r="B14" i="1"/>
  <c r="B15" i="1"/>
  <c r="B16" i="1"/>
  <c r="B17" i="1"/>
  <c r="B18" i="1"/>
  <c r="B19" i="1"/>
  <c r="B12" i="1"/>
  <c r="H17" i="2" l="1"/>
  <c r="H18" i="2"/>
  <c r="H19" i="2"/>
  <c r="L10" i="2"/>
  <c r="L9" i="2"/>
  <c r="L8" i="2"/>
  <c r="L7" i="2"/>
  <c r="L6" i="2"/>
  <c r="L5" i="2"/>
  <c r="L4" i="2"/>
  <c r="L3" i="2"/>
  <c r="K3" i="2"/>
  <c r="W29" i="2" a="1"/>
  <c r="W29" i="2" s="1"/>
  <c r="K12" i="1" l="1"/>
  <c r="J13" i="1"/>
  <c r="J14" i="1"/>
  <c r="J15" i="1"/>
  <c r="J16" i="1"/>
  <c r="J17" i="1"/>
  <c r="J18" i="1"/>
  <c r="K18" i="1" s="1"/>
  <c r="J19" i="1"/>
  <c r="K23" i="1" l="1"/>
  <c r="N13" i="1"/>
  <c r="O13" i="1" s="1"/>
  <c r="N4" i="2"/>
  <c r="M10" i="2"/>
  <c r="N10" i="2" s="1"/>
  <c r="N19" i="1" s="1"/>
  <c r="O19" i="1" s="1"/>
  <c r="M9" i="2"/>
  <c r="N9" i="2" s="1"/>
  <c r="N18" i="1" s="1"/>
  <c r="M8" i="2"/>
  <c r="N8" i="2" s="1"/>
  <c r="N17" i="1" s="1"/>
  <c r="O17" i="1" s="1"/>
  <c r="M7" i="2"/>
  <c r="N7" i="2" s="1"/>
  <c r="N16" i="1" s="1"/>
  <c r="O16" i="1" s="1"/>
  <c r="M6" i="2"/>
  <c r="N6" i="2" s="1"/>
  <c r="N15" i="1" s="1"/>
  <c r="O15" i="1" s="1"/>
  <c r="M5" i="2"/>
  <c r="N5" i="2" s="1"/>
  <c r="N14" i="1" s="1"/>
  <c r="O14" i="1" s="1"/>
  <c r="M4" i="2"/>
  <c r="M3" i="2"/>
  <c r="N3" i="2" s="1"/>
  <c r="N12" i="1" s="1"/>
  <c r="O12" i="1" s="1"/>
  <c r="K4" i="2"/>
  <c r="K5" i="2"/>
  <c r="K6" i="2"/>
  <c r="K7" i="2"/>
  <c r="K8" i="2"/>
  <c r="K9" i="2"/>
  <c r="K10" i="2"/>
  <c r="N16" i="2"/>
  <c r="M16" i="2"/>
  <c r="L16" i="2"/>
  <c r="K16" i="2"/>
  <c r="G3" i="2"/>
  <c r="G10" i="2"/>
  <c r="G9" i="2"/>
  <c r="G8" i="2"/>
  <c r="G7" i="2"/>
  <c r="G6" i="2"/>
  <c r="G5" i="2"/>
  <c r="G4" i="2"/>
  <c r="N19" i="2"/>
  <c r="N18" i="2"/>
  <c r="N17" i="2"/>
  <c r="L19" i="2"/>
  <c r="L18" i="2"/>
  <c r="L17" i="2"/>
  <c r="M19" i="2"/>
  <c r="M18" i="2"/>
  <c r="M17" i="2"/>
  <c r="K18" i="2"/>
  <c r="K17" i="2"/>
  <c r="I19" i="2"/>
  <c r="K19" i="2"/>
  <c r="I18" i="2"/>
  <c r="I17" i="2"/>
  <c r="I16" i="2"/>
  <c r="H16" i="2"/>
  <c r="F13" i="1"/>
  <c r="G13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D19" i="1"/>
  <c r="D18" i="1"/>
  <c r="D17" i="1"/>
  <c r="D16" i="1"/>
  <c r="D15" i="1"/>
  <c r="D14" i="1"/>
  <c r="D13" i="1"/>
  <c r="D12" i="1"/>
  <c r="O23" i="1" l="1"/>
  <c r="D23" i="1"/>
  <c r="M30" i="1" s="1"/>
  <c r="Q29" i="2" a="1"/>
  <c r="Q29" i="2" s="1"/>
  <c r="H8" i="2" s="1"/>
  <c r="I8" i="2" s="1"/>
  <c r="J8" i="2" s="1"/>
  <c r="L17" i="1" s="1"/>
  <c r="M17" i="1" s="1"/>
  <c r="H6" i="2" l="1"/>
  <c r="I6" i="2" s="1"/>
  <c r="J6" i="2" s="1"/>
  <c r="L15" i="1" s="1"/>
  <c r="M15" i="1" s="1"/>
  <c r="H7" i="2"/>
  <c r="I7" i="2" s="1"/>
  <c r="J7" i="2" s="1"/>
  <c r="L16" i="1" s="1"/>
  <c r="M16" i="1" s="1"/>
  <c r="H3" i="2"/>
  <c r="I3" i="2" s="1"/>
  <c r="J3" i="2" s="1"/>
  <c r="L12" i="1" s="1"/>
  <c r="M12" i="1" s="1"/>
  <c r="H5" i="2"/>
  <c r="I5" i="2" s="1"/>
  <c r="J5" i="2" s="1"/>
  <c r="L14" i="1" s="1"/>
  <c r="M14" i="1" s="1"/>
  <c r="H9" i="2"/>
  <c r="I9" i="2" s="1"/>
  <c r="J9" i="2" s="1"/>
  <c r="L18" i="1" s="1"/>
  <c r="M18" i="1" s="1"/>
  <c r="H10" i="2"/>
  <c r="I10" i="2" s="1"/>
  <c r="J10" i="2" s="1"/>
  <c r="L19" i="1" s="1"/>
  <c r="M19" i="1" s="1"/>
  <c r="H4" i="2"/>
  <c r="I4" i="2" s="1"/>
  <c r="J4" i="2" s="1"/>
  <c r="L13" i="1" s="1"/>
  <c r="O30" i="1" l="1"/>
  <c r="X29" i="2" l="1"/>
  <c r="R29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<sst xmlns="http://schemas.openxmlformats.org/spreadsheetml/2006/main" count="109" uniqueCount="69">
  <si>
    <t>Compound</t>
  </si>
  <si>
    <t>MW [g/mol]</t>
  </si>
  <si>
    <t>mgCOD/mg</t>
  </si>
  <si>
    <t>#C</t>
  </si>
  <si>
    <t>PHB</t>
  </si>
  <si>
    <t>PHV</t>
  </si>
  <si>
    <t>PH2MV</t>
  </si>
  <si>
    <t>Acetate</t>
  </si>
  <si>
    <t>mM</t>
  </si>
  <si>
    <t>mmol/gX</t>
  </si>
  <si>
    <t>Glycogen</t>
  </si>
  <si>
    <t>Phosphate</t>
  </si>
  <si>
    <t>mg/L</t>
  </si>
  <si>
    <t>mg/gX</t>
  </si>
  <si>
    <t xml:space="preserve">Glycogen </t>
  </si>
  <si>
    <t>mg/ml (extr.)</t>
  </si>
  <si>
    <t>mg biomass</t>
  </si>
  <si>
    <t>mg / mgX</t>
  </si>
  <si>
    <t>Electrons</t>
  </si>
  <si>
    <t>mg/gx</t>
  </si>
  <si>
    <t>Sample</t>
  </si>
  <si>
    <t>IS</t>
  </si>
  <si>
    <t>Area</t>
  </si>
  <si>
    <t>biomass (mg)</t>
  </si>
  <si>
    <t>LM071.39.1</t>
  </si>
  <si>
    <t>LM071.39.2</t>
  </si>
  <si>
    <t>LM071.39.3</t>
  </si>
  <si>
    <t>LM071.39.4</t>
  </si>
  <si>
    <t>LM071.39.5</t>
  </si>
  <si>
    <t>LM071.39.6</t>
  </si>
  <si>
    <t>LM071.39.7</t>
  </si>
  <si>
    <t>LM071.39.8</t>
  </si>
  <si>
    <t>IS (mg)</t>
  </si>
  <si>
    <t>PHA standard  (mg)</t>
  </si>
  <si>
    <t>PHB (mg)</t>
  </si>
  <si>
    <t>PHV (mg)</t>
  </si>
  <si>
    <t>Weight ratios</t>
  </si>
  <si>
    <t>Area ratios</t>
  </si>
  <si>
    <t>LM071.58.0</t>
  </si>
  <si>
    <t>LM071.58.1</t>
  </si>
  <si>
    <t>LM071.58.2</t>
  </si>
  <si>
    <t>LM071.58.3</t>
  </si>
  <si>
    <t>Area ratio</t>
  </si>
  <si>
    <t>Weight ratio</t>
  </si>
  <si>
    <t>mg PHB</t>
  </si>
  <si>
    <t>mg PHV</t>
  </si>
  <si>
    <t>mg / g X</t>
  </si>
  <si>
    <t>m</t>
  </si>
  <si>
    <t>b</t>
  </si>
  <si>
    <t xml:space="preserve">Data from reactor Sam08 </t>
  </si>
  <si>
    <t xml:space="preserve">Time </t>
  </si>
  <si>
    <t>Minutes</t>
  </si>
  <si>
    <t>Time</t>
  </si>
  <si>
    <t>hours</t>
  </si>
  <si>
    <t>q-rates</t>
  </si>
  <si>
    <t>e-mmol/gCDW/h</t>
  </si>
  <si>
    <t>Cmol/gCDW/h</t>
  </si>
  <si>
    <t>e- Recovery (%)</t>
  </si>
  <si>
    <t>e- IN</t>
  </si>
  <si>
    <t>e- OUT</t>
  </si>
  <si>
    <t>C IN</t>
  </si>
  <si>
    <t xml:space="preserve">C out </t>
  </si>
  <si>
    <t>C Recovery (%)</t>
  </si>
  <si>
    <t>Biomass concentration (gCDW/L)</t>
  </si>
  <si>
    <t>acetate</t>
  </si>
  <si>
    <t>phosphate</t>
  </si>
  <si>
    <t>glycogen</t>
  </si>
  <si>
    <t>time (min)</t>
  </si>
  <si>
    <t>in mmol/gX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</si>
</sst>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165" fontId="0" fillId="0" borderId="0" xfId="0" applyNumberFormat="1"/>
    <xf numFmtId="164" fontId="0" fillId="0" borderId="6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4" xfId="0" applyNumberForma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2" fillId="0" borderId="1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from experiment'!$B$39</c:f>
              <c:strCache>
                <c:ptCount val="1"/>
                <c:pt idx="0">
                  <c:v>acetate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'Data from experiment'!$A$40:$A$47</c:f>
              <c:numCache>
                <c:formatCode>General</c:formatCode>
                <c:ptCount val="8"/>
                <c:pt idx="0">
                  <c:v>-2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</c:numCache>
            </c:numRef>
          </c:xVal>
          <c:yVal>
            <c:numRef>
              <c:f>'Data from experiment'!$B$40:$B$47</c:f>
              <c:numCache>
                <c:formatCode>General</c:formatCode>
                <c:ptCount val="8"/>
                <c:pt idx="0">
                  <c:v>0</c:v>
                </c:pt>
                <c:pt idx="1">
                  <c:v>0.70745045818559316</c:v>
                </c:pt>
                <c:pt idx="2">
                  <c:v>0.36072253480317873</c:v>
                </c:pt>
                <c:pt idx="3">
                  <c:v>8.8241398049373684E-2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5-4806-B096-854F931B063F}"/>
            </c:ext>
          </c:extLst>
        </c:ser>
        <c:ser>
          <c:idx val="1"/>
          <c:order val="1"/>
          <c:tx>
            <c:strRef>
              <c:f>'Data from experiment'!$C$39</c:f>
              <c:strCache>
                <c:ptCount val="1"/>
                <c:pt idx="0">
                  <c:v>phosphate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 from experiment'!$A$40:$A$47</c:f>
              <c:numCache>
                <c:formatCode>General</c:formatCode>
                <c:ptCount val="8"/>
                <c:pt idx="0">
                  <c:v>-2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</c:numCache>
            </c:numRef>
          </c:xVal>
          <c:yVal>
            <c:numRef>
              <c:f>'Data from experiment'!$C$40:$C$47</c:f>
              <c:numCache>
                <c:formatCode>0.000</c:formatCode>
                <c:ptCount val="8"/>
                <c:pt idx="0">
                  <c:v>1.834403241191428E-3</c:v>
                </c:pt>
                <c:pt idx="1">
                  <c:v>0.28313615244476392</c:v>
                </c:pt>
                <c:pt idx="2">
                  <c:v>0.67202963957734674</c:v>
                </c:pt>
                <c:pt idx="3">
                  <c:v>1.0461282657864071</c:v>
                </c:pt>
                <c:pt idx="4">
                  <c:v>1.1758923559350356</c:v>
                </c:pt>
                <c:pt idx="5">
                  <c:v>1.2747906176340518</c:v>
                </c:pt>
                <c:pt idx="6">
                  <c:v>1.2695266778984591</c:v>
                </c:pt>
                <c:pt idx="7">
                  <c:v>1.3053772977643523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5-4806-B096-854F931B063F}"/>
            </c:ext>
          </c:extLst>
        </c:ser>
        <c:ser>
          <c:idx val="2"/>
          <c:order val="2"/>
          <c:tx>
            <c:strRef>
              <c:f>'Data from experiment'!$D$39</c:f>
              <c:strCache>
                <c:ptCount val="1"/>
                <c:pt idx="0">
                  <c:v>glycogen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'Data from experiment'!$A$40:$A$47</c:f>
              <c:numCache>
                <c:formatCode>General</c:formatCode>
                <c:ptCount val="8"/>
                <c:pt idx="0">
                  <c:v>-2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</c:numCache>
            </c:numRef>
          </c:xVal>
          <c:yVal>
            <c:numRef>
              <c:f>'Data from experiment'!$D$40:$D$47</c:f>
              <c:numCache>
                <c:formatCode>0.000</c:formatCode>
                <c:ptCount val="8"/>
                <c:pt idx="0">
                  <c:v>1.1686825096441307</c:v>
                </c:pt>
                <c:pt idx="1">
                  <c:v>0.71760524252661739</c:v>
                </c:pt>
                <c:pt idx="2">
                  <c:v>0.58238517051246963</c:v>
                </c:pt>
                <c:pt idx="6">
                  <c:v>0.43470783318516187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5-4806-B096-854F931B063F}"/>
            </c:ext>
          </c:extLst>
        </c:ser>
        <c:ser>
          <c:idx val="3"/>
          <c:order val="3"/>
          <c:tx>
            <c:strRef>
              <c:f>'Data from experiment'!$E$39</c:f>
              <c:strCache>
                <c:ptCount val="1"/>
                <c:pt idx="0">
                  <c:v>PHB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 from experiment'!$A$40:$A$47</c:f>
              <c:numCache>
                <c:formatCode>General</c:formatCode>
                <c:ptCount val="8"/>
                <c:pt idx="0">
                  <c:v>-2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</c:numCache>
            </c:numRef>
          </c:xVal>
          <c:yVal>
            <c:numRef>
              <c:f>'Data from experiment'!$E$40:$E$47</c:f>
              <c:numCache>
                <c:formatCode>General</c:formatCode>
                <c:ptCount val="8"/>
                <c:pt idx="0">
                  <c:v>3.4170372681015956E-2</c:v>
                </c:pt>
                <c:pt idx="2">
                  <c:v>0.29429221337195083</c:v>
                </c:pt>
                <c:pt idx="3">
                  <c:v>0.45631697694064488</c:v>
                </c:pt>
                <c:pt idx="4">
                  <c:v>0.48580107026921132</c:v>
                </c:pt>
                <c:pt idx="5">
                  <c:v>0.51885369945408943</c:v>
                </c:pt>
                <c:pt idx="6">
                  <c:v>0.37957056488861451</c:v>
                </c:pt>
                <c:pt idx="7">
                  <c:v>0.5174104620990303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5-4806-B096-854F931B063F}"/>
            </c:ext>
          </c:extLst>
        </c:ser>
        <c:ser>
          <c:idx val="4"/>
          <c:order val="4"/>
          <c:tx>
            <c:strRef>
              <c:f>'Data from experiment'!$F$39</c:f>
              <c:strCache>
                <c:ptCount val="1"/>
                <c:pt idx="0">
                  <c:v>PHV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'Data from experiment'!$A$40:$A$47</c:f>
              <c:numCache>
                <c:formatCode>General</c:formatCode>
                <c:ptCount val="8"/>
                <c:pt idx="0">
                  <c:v>-2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</c:numCache>
            </c:numRef>
          </c:xVal>
          <c:yVal>
            <c:numRef>
              <c:f>'Data from experiment'!$F$40:$F$47</c:f>
              <c:numCache>
                <c:formatCode>General</c:formatCode>
                <c:ptCount val="8"/>
                <c:pt idx="0">
                  <c:v>1.2827092180240942E-2</c:v>
                </c:pt>
                <c:pt idx="1">
                  <c:v>1.3416880185829918E-2</c:v>
                </c:pt>
                <c:pt idx="2">
                  <c:v>2.6888804660979232E-2</c:v>
                </c:pt>
                <c:pt idx="3">
                  <c:v>3.4247285006409507E-2</c:v>
                </c:pt>
                <c:pt idx="4">
                  <c:v>3.9875760891731768E-2</c:v>
                </c:pt>
                <c:pt idx="5">
                  <c:v>5.5186650116904434E-2</c:v>
                </c:pt>
                <c:pt idx="6">
                  <c:v>4.8339954891817319E-2</c:v>
                </c:pt>
                <c:pt idx="7">
                  <c:v>6.2993017768219736E-2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B5-4806-B096-854F931B0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666784"/>
        <c:axId val="1566670528"/>
      </c:scatterChart>
      <c:valAx>
        <c:axId val="156666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</a:t>
                </a:r>
                <a:r>
                  <a:rPr lang="en-US" sz="1200" baseline="0"/>
                  <a:t> (min)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70528"/>
        <c:crosses val="autoZero"/>
        <c:crossBetween val="midCat"/>
      </c:valAx>
      <c:valAx>
        <c:axId val="1566670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concentration (mC(P)mol/gCDW)</a:t>
                </a:r>
                <a:endParaRPr lang="en-US" sz="12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6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PHB</a:t>
            </a:r>
            <a:r>
              <a:rPr lang="en-GB" baseline="0"/>
              <a:t> standard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182280786330281"/>
                  <c:y val="7.3275749522754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'PHAs calculation'!$K$16:$K$19</c:f>
              <c:numCache>
                <c:formatCode>General</c:formatCode>
                <c:ptCount val="4"/>
                <c:pt idx="0">
                  <c:v>0</c:v>
                </c:pt>
                <c:pt idx="1">
                  <c:v>2.9730113636363634E-2</c:v>
                </c:pt>
                <c:pt idx="2">
                  <c:v>6.4478609625668454E-2</c:v>
                </c:pt>
                <c:pt idx="3">
                  <c:v>0.10423853211009175</c:v>
                </c:pt>
              </c:numCache>
            </c:numRef>
          </c:xVal>
          <c:yVal>
            <c:numRef>
              <c:f>'PHAs calculation'!$M$16:$M$19</c:f>
              <c:numCache>
                <c:formatCode>General</c:formatCode>
                <c:ptCount val="4"/>
                <c:pt idx="0">
                  <c:v>0</c:v>
                </c:pt>
                <c:pt idx="1">
                  <c:v>0.21433431037040446</c:v>
                </c:pt>
                <c:pt idx="2">
                  <c:v>0.52629129827826893</c:v>
                </c:pt>
                <c:pt idx="3">
                  <c:v>0.78287461773700295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A-4FEE-A8EB-DFF5BEB9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324751"/>
        <c:axId val="1582660463"/>
      </c:scatterChart>
      <c:valAx>
        <c:axId val="1668324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 = weight ratios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60463"/>
        <c:crosses val="autoZero"/>
        <c:crossBetween val="midCat"/>
      </c:valAx>
      <c:valAx>
        <c:axId val="158266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  <a:r>
                  <a:rPr lang="en-GB" baseline="0"/>
                  <a:t> = Area Ratios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32475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PHV</a:t>
            </a:r>
            <a:r>
              <a:rPr lang="en-GB" baseline="0"/>
              <a:t> standard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182280786330281"/>
                  <c:y val="7.3275749522754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'PHAs calculation'!$L$16:$L$19</c:f>
              <c:numCache>
                <c:formatCode>General</c:formatCode>
                <c:ptCount val="4"/>
                <c:pt idx="0">
                  <c:v>0</c:v>
                </c:pt>
                <c:pt idx="1">
                  <c:v>2.9403409090909085E-3</c:v>
                </c:pt>
                <c:pt idx="2">
                  <c:v>6.3770053475935831E-3</c:v>
                </c:pt>
                <c:pt idx="3">
                  <c:v>1.0309305373525557E-2</c:v>
                </c:pt>
              </c:numCache>
            </c:numRef>
          </c:xVal>
          <c:yVal>
            <c:numRef>
              <c:f>'PHAs calculation'!$N$16:$N$19</c:f>
              <c:numCache>
                <c:formatCode>General</c:formatCode>
                <c:ptCount val="4"/>
                <c:pt idx="0">
                  <c:v>1.806109738847721E-2</c:v>
                </c:pt>
                <c:pt idx="1">
                  <c:v>4.8156162239307583E-2</c:v>
                </c:pt>
                <c:pt idx="2">
                  <c:v>0.10098743601675197</c:v>
                </c:pt>
                <c:pt idx="3">
                  <c:v>0.14698995194408038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B5-4EE9-87DE-DC5D6788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324751"/>
        <c:axId val="1582660463"/>
      </c:scatterChart>
      <c:valAx>
        <c:axId val="1668324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 = weight ratios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60463"/>
        <c:crosses val="autoZero"/>
        <c:crossBetween val="midCat"/>
      </c:valAx>
      <c:valAx>
        <c:axId val="158266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  <a:r>
                  <a:rPr lang="en-GB" baseline="0"/>
                  <a:t> = Area Ratios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32475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363855</xdr:colOff>
      <xdr:row>40</xdr:row>
      <xdr:rowOff>89535</xdr:rowOff>
    </xdr:from>
    <xdr:to>
      <xdr:col>12</xdr:col>
      <xdr:colOff>680085</xdr:colOff>
      <xdr:row>58</xdr:row>
      <xdr:rowOff>184785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11</xdr:row>
      <xdr:rowOff>100012</xdr:rowOff>
    </xdr:from>
    <xdr:to>
      <xdr:col>20</xdr:col>
      <xdr:colOff>447675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542CA-F596-EFC3-8C33-F2156737F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485775</xdr:colOff>
      <xdr:row>11</xdr:row>
      <xdr:rowOff>114300</xdr:rowOff>
    </xdr:from>
    <xdr:to>
      <xdr:col>26</xdr:col>
      <xdr:colOff>561975</xdr:colOff>
      <xdr:row>26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CD85F-03C0-4B69-8747-300746706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topLeftCell="G40" workbookViewId="0">
      <selection activeCell="D56" sqref="D56"/>
    </sheetView>
  </sheetViews>
  <sheetFormatPr defaultRowHeight="15" x14ac:dyDescent="0.25"/>
  <cols>
    <col min="1" max="1" width="22.42578125" bestFit="1" customWidth="1"/>
    <col min="2" max="2" width="11.7109375" bestFit="1" customWidth="1"/>
    <col min="3" max="3" width="15" bestFit="1" customWidth="1"/>
    <col min="4" max="4" width="15.5703125" bestFit="1" customWidth="1"/>
    <col min="5" max="5" width="27.7109375" bestFit="1" customWidth="1"/>
    <col min="6" max="6" width="32.28515625" bestFit="1" customWidth="1"/>
    <col min="8" max="8" width="11.5703125" bestFit="1" customWidth="1"/>
    <col min="9" max="9" width="10.5703125" bestFit="1" customWidth="1"/>
    <col min="10" max="10" width="12" bestFit="1" customWidth="1"/>
    <col min="11" max="11" width="10.5703125" bestFit="1" customWidth="1"/>
    <col min="12" max="13" width="12" bestFit="1" customWidth="1"/>
    <col min="14" max="14" width="12.7109375" bestFit="1" customWidth="1"/>
    <col min="15" max="15" width="20.7109375" bestFit="1" customWidth="1"/>
    <col min="21" max="21" width="11.5703125" bestFit="1" customWidth="1"/>
  </cols>
  <sheetData>
    <row r="1" spans="1:17" ht="15.75" x14ac:dyDescent="0.25">
      <c r="A1" t="s">
        <v>0</v>
      </c>
      <c r="B1" s="1" t="s">
        <v>1</v>
      </c>
      <c r="C1" s="1" t="s">
        <v>2</v>
      </c>
      <c r="D1" s="1" t="s">
        <v>3</v>
      </c>
      <c r="F1" s="46" t="s">
        <v>63</v>
      </c>
    </row>
    <row r="2" spans="1:17" x14ac:dyDescent="0.25">
      <c r="A2" t="s">
        <v>4</v>
      </c>
      <c r="B2">
        <v>104</v>
      </c>
      <c r="C2">
        <v>1.38</v>
      </c>
      <c r="D2" s="1">
        <v>4</v>
      </c>
      <c r="F2">
        <v>8.0959732709614602</v>
      </c>
    </row>
    <row r="3" spans="1:17" x14ac:dyDescent="0.25">
      <c r="A3" t="s">
        <v>5</v>
      </c>
      <c r="B3">
        <v>117</v>
      </c>
      <c r="C3">
        <v>1.57</v>
      </c>
      <c r="D3" s="1">
        <v>5</v>
      </c>
    </row>
    <row r="4" spans="1:17" x14ac:dyDescent="0.25">
      <c r="A4" t="s">
        <v>6</v>
      </c>
      <c r="B4">
        <v>132</v>
      </c>
      <c r="C4">
        <v>1.82</v>
      </c>
      <c r="D4" s="1">
        <v>6</v>
      </c>
    </row>
    <row r="5" spans="1:17" x14ac:dyDescent="0.25">
      <c r="A5" t="s">
        <v>11</v>
      </c>
      <c r="B5">
        <v>94.971400000000003</v>
      </c>
    </row>
    <row r="6" spans="1:17" x14ac:dyDescent="0.25">
      <c r="A6" t="s">
        <v>14</v>
      </c>
      <c r="B6">
        <v>180.15600000000001</v>
      </c>
    </row>
    <row r="9" spans="1:17" ht="15.75" thickBot="1" x14ac:dyDescent="0.3">
      <c r="A9" s="9" t="s">
        <v>49</v>
      </c>
      <c r="B9" s="9"/>
      <c r="C9" s="9"/>
      <c r="D9" s="9"/>
      <c r="E9" s="9"/>
      <c r="F9" s="9"/>
      <c r="G9" s="9"/>
      <c r="H9" s="9"/>
      <c r="I9" s="9"/>
      <c r="K9" s="9"/>
      <c r="L9" s="9"/>
      <c r="M9" s="9"/>
      <c r="N9" s="9"/>
      <c r="O9" s="9"/>
      <c r="P9" s="9"/>
      <c r="Q9" s="9"/>
    </row>
    <row r="10" spans="1:17" x14ac:dyDescent="0.25">
      <c r="A10" s="10" t="s">
        <v>50</v>
      </c>
      <c r="B10" s="11" t="s">
        <v>52</v>
      </c>
      <c r="C10" s="10" t="s">
        <v>7</v>
      </c>
      <c r="D10" s="11"/>
      <c r="E10" s="10" t="s">
        <v>11</v>
      </c>
      <c r="F10" s="12"/>
      <c r="G10" s="11"/>
      <c r="H10" s="12" t="s">
        <v>10</v>
      </c>
      <c r="I10" s="12"/>
      <c r="J10" s="12"/>
      <c r="K10" s="11"/>
      <c r="L10" s="10" t="s">
        <v>4</v>
      </c>
      <c r="M10" s="11"/>
      <c r="N10" s="12" t="s">
        <v>5</v>
      </c>
      <c r="O10" s="11"/>
    </row>
    <row r="11" spans="1:17" x14ac:dyDescent="0.25">
      <c r="A11" s="15" t="s">
        <v>51</v>
      </c>
      <c r="B11" s="20" t="s">
        <v>53</v>
      </c>
      <c r="C11" s="15" t="s">
        <v>8</v>
      </c>
      <c r="D11" s="16" t="s">
        <v>9</v>
      </c>
      <c r="E11" s="15" t="s">
        <v>12</v>
      </c>
      <c r="F11" s="14" t="s">
        <v>13</v>
      </c>
      <c r="G11" s="16" t="s">
        <v>9</v>
      </c>
      <c r="H11" s="14" t="s">
        <v>15</v>
      </c>
      <c r="I11" s="14" t="s">
        <v>16</v>
      </c>
      <c r="J11" s="14" t="s">
        <v>17</v>
      </c>
      <c r="K11" s="16" t="s">
        <v>9</v>
      </c>
      <c r="L11" s="15" t="s">
        <v>19</v>
      </c>
      <c r="M11" s="16" t="s">
        <v>9</v>
      </c>
      <c r="N11" s="14" t="s">
        <v>19</v>
      </c>
      <c r="O11" s="16" t="s">
        <v>9</v>
      </c>
    </row>
    <row r="12" spans="1:17" x14ac:dyDescent="0.25">
      <c r="A12" s="15">
        <v>-2</v>
      </c>
      <c r="B12" s="17">
        <f t="shared" ref="B12:B19" si="0">A12/60</f>
        <v>-3.3333333333333333E-2</v>
      </c>
      <c r="C12" s="21">
        <v>0</v>
      </c>
      <c r="D12" s="31">
        <f t="shared" ref="D12:D19" si="1">C12/$F$2</f>
        <v>0</v>
      </c>
      <c r="E12" s="32">
        <v>1.4104468162440196</v>
      </c>
      <c r="F12" s="33">
        <f>E12/$F$2</f>
        <v>0.17421584398048759</v>
      </c>
      <c r="G12" s="31">
        <f>F12/$B$5</f>
        <v>1.834403241191428E-3</v>
      </c>
      <c r="H12" s="33">
        <v>0.105272583103724</v>
      </c>
      <c r="I12" s="33">
        <v>5</v>
      </c>
      <c r="J12" s="33">
        <f>H12*10/I12</f>
        <v>0.21054516620744801</v>
      </c>
      <c r="K12" s="31">
        <f t="shared" ref="K12:K18" si="2">J12/$B$6*1000</f>
        <v>1.1686825096441307</v>
      </c>
      <c r="L12" s="32">
        <f>'PHAs calculation'!J3</f>
        <v>3.5537187588256591</v>
      </c>
      <c r="M12" s="31">
        <f>L12/$B$2</f>
        <v>3.4170372681015956E-2</v>
      </c>
      <c r="N12" s="33">
        <f>'PHAs calculation'!N3</f>
        <v>1.5007697850881903</v>
      </c>
      <c r="O12" s="31">
        <f t="shared" ref="O12:O19" si="3">N12/$B$3</f>
        <v>1.2827092180240942E-2</v>
      </c>
    </row>
    <row r="13" spans="1:17" x14ac:dyDescent="0.25">
      <c r="A13" s="15">
        <v>0</v>
      </c>
      <c r="B13" s="17">
        <f t="shared" si="0"/>
        <v>0</v>
      </c>
      <c r="C13" s="21">
        <v>5.7275</v>
      </c>
      <c r="D13" s="31">
        <f t="shared" si="1"/>
        <v>0.70745045818559316</v>
      </c>
      <c r="E13" s="32">
        <v>217.69939989853347</v>
      </c>
      <c r="F13" s="33">
        <f t="shared" ref="F13:F19" si="4">E13/$F$2</f>
        <v>26.889836788292651</v>
      </c>
      <c r="G13" s="31">
        <f t="shared" ref="G13:G19" si="5">F13/$B$5</f>
        <v>0.28313615244476392</v>
      </c>
      <c r="H13" s="33">
        <v>7.3172983781105899E-2</v>
      </c>
      <c r="I13" s="33">
        <v>5.66</v>
      </c>
      <c r="J13" s="33">
        <f t="shared" ref="J13:J19" si="6">H13*10/I13</f>
        <v>0.12928089007262528</v>
      </c>
      <c r="K13" s="31">
        <f t="shared" si="2"/>
        <v>0.71760524252661739</v>
      </c>
      <c r="L13" s="32">
        <f>'PHAs calculation'!J4</f>
        <v>10.712871696762514</v>
      </c>
      <c r="M13" s="31"/>
      <c r="N13" s="33">
        <f>'PHAs calculation'!N4</f>
        <v>1.5697749817421005</v>
      </c>
      <c r="O13" s="31">
        <f t="shared" si="3"/>
        <v>1.3416880185829918E-2</v>
      </c>
    </row>
    <row r="14" spans="1:17" x14ac:dyDescent="0.25">
      <c r="A14" s="15">
        <v>10</v>
      </c>
      <c r="B14" s="17">
        <f t="shared" si="0"/>
        <v>0.16666666666666666</v>
      </c>
      <c r="C14" s="21">
        <v>2.9203999999999999</v>
      </c>
      <c r="D14" s="31">
        <f t="shared" si="1"/>
        <v>0.36072253480317873</v>
      </c>
      <c r="E14" s="32">
        <v>516.7141249422657</v>
      </c>
      <c r="F14" s="33">
        <f t="shared" si="4"/>
        <v>63.823595712156035</v>
      </c>
      <c r="G14" s="31">
        <f t="shared" si="5"/>
        <v>0.67202963957734674</v>
      </c>
      <c r="H14" s="33">
        <v>5.5922457421124103E-2</v>
      </c>
      <c r="I14" s="33">
        <v>5.33</v>
      </c>
      <c r="J14" s="33">
        <f t="shared" si="6"/>
        <v>0.10492018277884448</v>
      </c>
      <c r="K14" s="31">
        <f t="shared" si="2"/>
        <v>0.58238517051246963</v>
      </c>
      <c r="L14" s="32">
        <f>'PHAs calculation'!J5</f>
        <v>30.606390190682887</v>
      </c>
      <c r="M14" s="31">
        <f t="shared" ref="M14:M19" si="7">L14/$B$2</f>
        <v>0.29429221337195083</v>
      </c>
      <c r="N14" s="33">
        <f>'PHAs calculation'!N5</f>
        <v>3.14599014533457</v>
      </c>
      <c r="O14" s="31">
        <f t="shared" si="3"/>
        <v>2.6888804660979232E-2</v>
      </c>
    </row>
    <row r="15" spans="1:17" x14ac:dyDescent="0.25">
      <c r="A15" s="15">
        <v>20</v>
      </c>
      <c r="B15" s="17">
        <f t="shared" si="0"/>
        <v>0.33333333333333331</v>
      </c>
      <c r="C15" s="21">
        <v>0.71440000000000003</v>
      </c>
      <c r="D15" s="31">
        <f t="shared" si="1"/>
        <v>8.8241398049373684E-2</v>
      </c>
      <c r="E15" s="32">
        <v>804.35328979411656</v>
      </c>
      <c r="F15" s="33">
        <f t="shared" si="4"/>
        <v>99.352265981307184</v>
      </c>
      <c r="G15" s="31">
        <f t="shared" si="5"/>
        <v>1.0461282657864071</v>
      </c>
      <c r="H15" s="33">
        <v>7.7292016013869702E-2</v>
      </c>
      <c r="I15" s="33">
        <v>5.25</v>
      </c>
      <c r="J15" s="33">
        <f t="shared" si="6"/>
        <v>0.14722288764546609</v>
      </c>
      <c r="K15" s="34"/>
      <c r="L15" s="32">
        <f>'PHAs calculation'!J6</f>
        <v>47.456965601827065</v>
      </c>
      <c r="M15" s="31">
        <f t="shared" si="7"/>
        <v>0.45631697694064488</v>
      </c>
      <c r="N15" s="33">
        <f>'PHAs calculation'!N6</f>
        <v>4.0069323457499122</v>
      </c>
      <c r="O15" s="31">
        <f t="shared" si="3"/>
        <v>3.4247285006409507E-2</v>
      </c>
    </row>
    <row r="16" spans="1:17" x14ac:dyDescent="0.25">
      <c r="A16" s="15">
        <v>30</v>
      </c>
      <c r="B16" s="17">
        <f t="shared" si="0"/>
        <v>0.5</v>
      </c>
      <c r="C16" s="21">
        <v>0</v>
      </c>
      <c r="D16" s="31">
        <f t="shared" si="1"/>
        <v>0</v>
      </c>
      <c r="E16" s="32">
        <v>904.12707109972621</v>
      </c>
      <c r="F16" s="33">
        <f t="shared" si="4"/>
        <v>111.67614329244864</v>
      </c>
      <c r="G16" s="31">
        <f t="shared" si="5"/>
        <v>1.1758923559350356</v>
      </c>
      <c r="H16" s="33">
        <v>8.4815739362586698E-2</v>
      </c>
      <c r="I16" s="33">
        <v>5.16</v>
      </c>
      <c r="J16" s="33">
        <f t="shared" si="6"/>
        <v>0.16437158791198972</v>
      </c>
      <c r="K16" s="34"/>
      <c r="L16" s="32">
        <f>'PHAs calculation'!J7</f>
        <v>50.523311307997979</v>
      </c>
      <c r="M16" s="31">
        <f t="shared" si="7"/>
        <v>0.48580107026921132</v>
      </c>
      <c r="N16" s="33">
        <f>'PHAs calculation'!N7</f>
        <v>4.6654640243326169</v>
      </c>
      <c r="O16" s="31">
        <f t="shared" si="3"/>
        <v>3.9875760891731768E-2</v>
      </c>
    </row>
    <row r="17" spans="1:17" x14ac:dyDescent="0.25">
      <c r="A17" s="15">
        <v>60</v>
      </c>
      <c r="B17" s="17">
        <f t="shared" si="0"/>
        <v>1</v>
      </c>
      <c r="C17" s="21">
        <v>0</v>
      </c>
      <c r="D17" s="31">
        <f t="shared" si="1"/>
        <v>0</v>
      </c>
      <c r="E17" s="32">
        <v>980.16855162766467</v>
      </c>
      <c r="F17" s="33">
        <f t="shared" si="4"/>
        <v>121.06864966357058</v>
      </c>
      <c r="G17" s="31">
        <f t="shared" si="5"/>
        <v>1.2747906176340518</v>
      </c>
      <c r="H17" s="33">
        <v>6.8096701602682594E-2</v>
      </c>
      <c r="I17" s="33">
        <v>5.08</v>
      </c>
      <c r="J17" s="33">
        <f t="shared" si="6"/>
        <v>0.13404862520213109</v>
      </c>
      <c r="K17" s="34"/>
      <c r="L17" s="32">
        <f>'PHAs calculation'!J8</f>
        <v>53.960784743225297</v>
      </c>
      <c r="M17" s="31">
        <f t="shared" si="7"/>
        <v>0.51885369945408943</v>
      </c>
      <c r="N17" s="33">
        <f>'PHAs calculation'!N8</f>
        <v>6.4568380636778189</v>
      </c>
      <c r="O17" s="31">
        <f t="shared" si="3"/>
        <v>5.5186650116904434E-2</v>
      </c>
    </row>
    <row r="18" spans="1:17" x14ac:dyDescent="0.25">
      <c r="A18" s="15">
        <v>90</v>
      </c>
      <c r="B18" s="17">
        <f t="shared" si="0"/>
        <v>1.5</v>
      </c>
      <c r="C18" s="21">
        <v>0</v>
      </c>
      <c r="D18" s="31">
        <f t="shared" si="1"/>
        <v>0</v>
      </c>
      <c r="E18" s="32">
        <v>976.12118250279059</v>
      </c>
      <c r="F18" s="33">
        <f t="shared" si="4"/>
        <v>120.56872593736571</v>
      </c>
      <c r="G18" s="31">
        <f t="shared" si="5"/>
        <v>1.2695266778984591</v>
      </c>
      <c r="H18" s="33">
        <v>4.1272123256326274E-2</v>
      </c>
      <c r="I18" s="33">
        <v>5.27</v>
      </c>
      <c r="J18" s="33">
        <f t="shared" si="6"/>
        <v>7.8315224395306027E-2</v>
      </c>
      <c r="K18" s="31">
        <f t="shared" si="2"/>
        <v>0.43470783318516187</v>
      </c>
      <c r="L18" s="32">
        <f>'PHAs calculation'!J9</f>
        <v>39.475338748415908</v>
      </c>
      <c r="M18" s="31">
        <f t="shared" si="7"/>
        <v>0.37957056488861451</v>
      </c>
      <c r="N18" s="33">
        <f>'PHAs calculation'!N9</f>
        <v>5.6557747223426267</v>
      </c>
      <c r="O18" s="31">
        <f t="shared" si="3"/>
        <v>4.8339954891817319E-2</v>
      </c>
    </row>
    <row r="19" spans="1:17" ht="15.75" thickBot="1" x14ac:dyDescent="0.3">
      <c r="A19" s="18">
        <v>120</v>
      </c>
      <c r="B19" s="19">
        <f t="shared" si="0"/>
        <v>2</v>
      </c>
      <c r="C19" s="22">
        <v>0</v>
      </c>
      <c r="D19" s="30">
        <f t="shared" si="1"/>
        <v>0</v>
      </c>
      <c r="E19" s="35">
        <v>1003.6862191941682</v>
      </c>
      <c r="F19" s="36">
        <f t="shared" si="4"/>
        <v>123.97350949689741</v>
      </c>
      <c r="G19" s="30">
        <f t="shared" si="5"/>
        <v>1.3053772977643523</v>
      </c>
      <c r="H19" s="36">
        <v>7.4918628098532183E-2</v>
      </c>
      <c r="I19" s="36">
        <v>5.24</v>
      </c>
      <c r="J19" s="36">
        <f t="shared" si="6"/>
        <v>0.14297448110406905</v>
      </c>
      <c r="K19" s="30"/>
      <c r="L19" s="35">
        <f>'PHAs calculation'!J10</f>
        <v>53.810688058299149</v>
      </c>
      <c r="M19" s="30">
        <f t="shared" si="7"/>
        <v>0.5174104620990303</v>
      </c>
      <c r="N19" s="36">
        <f>'PHAs calculation'!N10</f>
        <v>7.3701830788817091</v>
      </c>
      <c r="O19" s="30">
        <f t="shared" si="3"/>
        <v>6.2993017768219736E-2</v>
      </c>
    </row>
    <row r="20" spans="1:17" ht="15.75" thickBo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7" ht="15.75" thickBot="1" x14ac:dyDescent="0.3">
      <c r="A21" s="9"/>
      <c r="B21" s="9"/>
      <c r="C21" s="23" t="s">
        <v>54</v>
      </c>
      <c r="D21" s="24">
        <f>SLOPE(D13:D16,B13:B16)</f>
        <v>-1.4368995067863506</v>
      </c>
      <c r="E21" s="24"/>
      <c r="F21" s="24"/>
      <c r="G21" s="24">
        <f>SLOPE(G13:G16,B13:B16)</f>
        <v>1.8314203420079247</v>
      </c>
      <c r="H21" s="24"/>
      <c r="I21" s="24"/>
      <c r="J21" s="24"/>
      <c r="K21" s="24">
        <f>SLOPE(K13:K18,B13:B18)</f>
        <v>-0.15874173101530314</v>
      </c>
      <c r="L21" s="24"/>
      <c r="M21" s="24">
        <f>SLOPE(M12:M16,B12:B16)</f>
        <v>0.86872474454022519</v>
      </c>
      <c r="N21" s="24"/>
      <c r="O21" s="25">
        <f>SLOPE(O13:O17,B13:B17)</f>
        <v>3.9354804900557122E-2</v>
      </c>
    </row>
    <row r="22" spans="1:17" x14ac:dyDescent="0.25">
      <c r="A22" s="9"/>
      <c r="B22" s="9"/>
      <c r="C22" s="9" t="s">
        <v>18</v>
      </c>
      <c r="D22" s="9">
        <v>8</v>
      </c>
      <c r="E22" s="9"/>
      <c r="F22" s="9"/>
      <c r="G22" s="9"/>
      <c r="H22" s="9"/>
      <c r="I22" s="9"/>
      <c r="J22" s="9"/>
      <c r="K22" s="9">
        <v>24</v>
      </c>
      <c r="L22" s="9"/>
      <c r="M22" s="9">
        <v>18</v>
      </c>
      <c r="N22" s="9"/>
      <c r="O22" s="9">
        <v>24</v>
      </c>
    </row>
    <row r="23" spans="1:17" x14ac:dyDescent="0.25">
      <c r="A23" s="9"/>
      <c r="B23" s="9"/>
      <c r="C23" s="9" t="s">
        <v>55</v>
      </c>
      <c r="D23" s="9">
        <f>D21*D22</f>
        <v>-11.495196054290805</v>
      </c>
      <c r="E23" s="9"/>
      <c r="F23" s="9"/>
      <c r="G23" s="9"/>
      <c r="H23" s="9"/>
      <c r="I23" s="9"/>
      <c r="J23" s="9"/>
      <c r="K23" s="9">
        <f>K21*K22</f>
        <v>-3.8098015443672755</v>
      </c>
      <c r="L23" s="9"/>
      <c r="M23" s="9">
        <f>M21*M22</f>
        <v>15.637045401724054</v>
      </c>
      <c r="N23" s="9"/>
      <c r="O23" s="9">
        <f>O21*O22</f>
        <v>0.94451531761337093</v>
      </c>
    </row>
    <row r="24" spans="1:17" x14ac:dyDescent="0.25">
      <c r="C24" s="26" t="s">
        <v>56</v>
      </c>
      <c r="D24">
        <f>D21*2/1000</f>
        <v>-2.8737990135727014E-3</v>
      </c>
      <c r="F24" s="26"/>
      <c r="J24" s="26" t="s">
        <v>56</v>
      </c>
      <c r="K24">
        <f>K21*6/1000</f>
        <v>-9.5245038609181887E-4</v>
      </c>
      <c r="L24" s="26" t="s">
        <v>56</v>
      </c>
      <c r="M24">
        <f>M21*4/1000</f>
        <v>3.4748989781609009E-3</v>
      </c>
      <c r="N24" s="26" t="s">
        <v>56</v>
      </c>
      <c r="O24">
        <f>O21*5/1000</f>
        <v>1.9677402450278561E-4</v>
      </c>
    </row>
    <row r="26" spans="1:17" x14ac:dyDescent="0.25">
      <c r="I26" s="13"/>
      <c r="M26" s="13"/>
      <c r="O26" s="13"/>
      <c r="Q26" s="13"/>
    </row>
    <row r="28" spans="1:17" ht="15.75" thickBot="1" x14ac:dyDescent="0.3">
      <c r="D28" s="29"/>
    </row>
    <row r="29" spans="1:17" x14ac:dyDescent="0.25">
      <c r="D29" s="29"/>
      <c r="I29" s="27"/>
      <c r="M29" s="37" t="s">
        <v>58</v>
      </c>
      <c r="N29" s="38" t="s">
        <v>59</v>
      </c>
      <c r="O29" s="39" t="s">
        <v>57</v>
      </c>
    </row>
    <row r="30" spans="1:17" x14ac:dyDescent="0.25">
      <c r="D30" s="29"/>
      <c r="I30" s="28"/>
      <c r="M30" s="40">
        <f>D23+K23</f>
        <v>-15.30499759865808</v>
      </c>
      <c r="N30" s="41">
        <f>M23+O23</f>
        <v>16.581560719337425</v>
      </c>
      <c r="O30" s="42">
        <f>ABS((N30/M30))*100</f>
        <v>108.34082535753728</v>
      </c>
    </row>
    <row r="31" spans="1:17" x14ac:dyDescent="0.25">
      <c r="D31" s="29"/>
      <c r="I31" s="27"/>
      <c r="M31" s="15" t="s">
        <v>60</v>
      </c>
      <c r="N31" s="14" t="s">
        <v>61</v>
      </c>
      <c r="O31" s="16" t="s">
        <v>62</v>
      </c>
    </row>
    <row r="32" spans="1:17" ht="15.75" thickBot="1" x14ac:dyDescent="0.3">
      <c r="D32" s="29"/>
      <c r="M32" s="44">
        <f>D24+K24</f>
        <v>-3.8262493996645201E-3</v>
      </c>
      <c r="N32" s="45">
        <f>M24+O24</f>
        <v>3.6716730026636864E-3</v>
      </c>
      <c r="O32" s="43">
        <f>ABS((N32/M32))*100</f>
        <v>95.960106599052679</v>
      </c>
    </row>
    <row r="37" spans="1:6" ht="15.75" thickBot="1" x14ac:dyDescent="0.3"/>
    <row r="38" spans="1:6" x14ac:dyDescent="0.25">
      <c r="B38" s="49" t="s">
        <v>68</v>
      </c>
      <c r="C38" s="49" t="s">
        <v>68</v>
      </c>
      <c r="D38" s="49" t="s">
        <v>68</v>
      </c>
      <c r="E38" s="49" t="s">
        <v>68</v>
      </c>
      <c r="F38" s="49" t="s">
        <v>68</v>
      </c>
    </row>
    <row r="39" spans="1:6" x14ac:dyDescent="0.25">
      <c r="A39" s="47" t="s">
        <v>67</v>
      </c>
      <c r="B39" s="47" t="s">
        <v>64</v>
      </c>
      <c r="C39" s="47" t="s">
        <v>65</v>
      </c>
      <c r="D39" s="47" t="s">
        <v>66</v>
      </c>
      <c r="E39" s="47" t="s">
        <v>4</v>
      </c>
      <c r="F39" s="47" t="s">
        <v>5</v>
      </c>
    </row>
    <row r="40" spans="1:6" x14ac:dyDescent="0.25">
      <c r="A40" s="47">
        <v>-2</v>
      </c>
      <c r="B40" s="47">
        <v>0</v>
      </c>
      <c r="C40" s="48">
        <v>1.834403241191428E-3</v>
      </c>
      <c r="D40" s="48">
        <v>1.1686825096441307</v>
      </c>
      <c r="E40" s="47">
        <v>3.4170372681015956E-2</v>
      </c>
      <c r="F40" s="47">
        <v>1.2827092180240942E-2</v>
      </c>
    </row>
    <row r="41" spans="1:6" x14ac:dyDescent="0.25">
      <c r="A41" s="47">
        <v>0</v>
      </c>
      <c r="B41" s="47">
        <v>0.70745045818559316</v>
      </c>
      <c r="C41" s="48">
        <v>0.28313615244476392</v>
      </c>
      <c r="D41" s="48">
        <v>0.71760524252661739</v>
      </c>
      <c r="E41" s="47"/>
      <c r="F41" s="47">
        <v>1.3416880185829918E-2</v>
      </c>
    </row>
    <row r="42" spans="1:6" x14ac:dyDescent="0.25">
      <c r="A42" s="47">
        <v>10</v>
      </c>
      <c r="B42" s="47">
        <v>0.36072253480317873</v>
      </c>
      <c r="C42" s="48">
        <v>0.67202963957734674</v>
      </c>
      <c r="D42" s="48">
        <v>0.58238517051246963</v>
      </c>
      <c r="E42" s="47">
        <v>0.29429221337195083</v>
      </c>
      <c r="F42" s="47">
        <v>2.6888804660979232E-2</v>
      </c>
    </row>
    <row r="43" spans="1:6" x14ac:dyDescent="0.25">
      <c r="A43" s="47">
        <v>20</v>
      </c>
      <c r="B43" s="47">
        <v>8.8241398049373684E-2</v>
      </c>
      <c r="C43" s="48">
        <v>1.0461282657864071</v>
      </c>
      <c r="D43" s="50"/>
      <c r="E43" s="47">
        <v>0.45631697694064488</v>
      </c>
      <c r="F43" s="47">
        <v>3.4247285006409507E-2</v>
      </c>
    </row>
    <row r="44" spans="1:6" x14ac:dyDescent="0.25">
      <c r="A44" s="47">
        <v>30</v>
      </c>
      <c r="B44" s="47">
        <v>0</v>
      </c>
      <c r="C44" s="48">
        <v>1.1758923559350356</v>
      </c>
      <c r="D44" s="50"/>
      <c r="E44" s="47">
        <v>0.48580107026921132</v>
      </c>
      <c r="F44" s="47">
        <v>3.9875760891731768E-2</v>
      </c>
    </row>
    <row r="45" spans="1:6" x14ac:dyDescent="0.25">
      <c r="A45" s="47">
        <v>60</v>
      </c>
      <c r="B45" s="47">
        <v>0</v>
      </c>
      <c r="C45" s="48">
        <v>1.2747906176340518</v>
      </c>
      <c r="D45" s="50"/>
      <c r="E45" s="47">
        <v>0.51885369945408943</v>
      </c>
      <c r="F45" s="47">
        <v>5.5186650116904434E-2</v>
      </c>
    </row>
    <row r="46" spans="1:6" x14ac:dyDescent="0.25">
      <c r="A46" s="47">
        <v>90</v>
      </c>
      <c r="B46" s="47">
        <v>0</v>
      </c>
      <c r="C46" s="48">
        <v>1.2695266778984591</v>
      </c>
      <c r="D46" s="48">
        <v>0.43470783318516187</v>
      </c>
      <c r="E46" s="47">
        <v>0.37957056488861451</v>
      </c>
      <c r="F46" s="47">
        <v>4.8339954891817319E-2</v>
      </c>
    </row>
    <row r="47" spans="1:6" x14ac:dyDescent="0.25">
      <c r="A47" s="47">
        <v>120</v>
      </c>
      <c r="B47" s="47">
        <v>0</v>
      </c>
      <c r="C47" s="48">
        <v>1.3053772977643523</v>
      </c>
      <c r="D47" s="48"/>
      <c r="E47" s="47">
        <v>0.5174104620990303</v>
      </c>
      <c r="F47" s="47">
        <v>6.2993017768219736E-2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>
      <selection activeCell="J22" sqref="J22"/>
    </sheetView>
  </sheetViews>
  <sheetFormatPr defaultRowHeight="15" x14ac:dyDescent="0.25"/>
  <cols>
    <col min="1" max="1" width="10.7109375" bestFit="1" customWidth="1"/>
    <col min="5" max="5" width="11.7109375" bestFit="1" customWidth="1"/>
  </cols>
  <sheetData>
    <row r="1" spans="1:14" x14ac:dyDescent="0.25">
      <c r="A1" s="7" t="s">
        <v>20</v>
      </c>
      <c r="B1" s="7" t="s">
        <v>4</v>
      </c>
      <c r="C1" s="7" t="s">
        <v>5</v>
      </c>
      <c r="D1" s="7" t="s">
        <v>21</v>
      </c>
      <c r="E1" s="7"/>
      <c r="F1" s="7"/>
      <c r="G1" s="51" t="s">
        <v>4</v>
      </c>
      <c r="H1" s="52"/>
      <c r="I1" s="52"/>
      <c r="J1" s="53"/>
      <c r="K1" s="51" t="s">
        <v>5</v>
      </c>
      <c r="L1" s="52"/>
      <c r="M1" s="52"/>
      <c r="N1" s="53"/>
    </row>
    <row r="2" spans="1:14" x14ac:dyDescent="0.25">
      <c r="A2" s="8"/>
      <c r="B2" s="8" t="s">
        <v>22</v>
      </c>
      <c r="C2" s="8" t="s">
        <v>22</v>
      </c>
      <c r="D2" s="8" t="s">
        <v>22</v>
      </c>
      <c r="E2" s="7" t="s">
        <v>23</v>
      </c>
      <c r="F2" s="7" t="s">
        <v>32</v>
      </c>
      <c r="G2" s="2" t="s">
        <v>42</v>
      </c>
      <c r="H2" t="s">
        <v>43</v>
      </c>
      <c r="I2" t="s">
        <v>44</v>
      </c>
      <c r="J2" s="3" t="s">
        <v>46</v>
      </c>
      <c r="K2" s="2" t="s">
        <v>42</v>
      </c>
      <c r="L2" t="s">
        <v>43</v>
      </c>
      <c r="M2" t="s">
        <v>45</v>
      </c>
      <c r="N2" s="3" t="s">
        <v>46</v>
      </c>
    </row>
    <row r="3" spans="1:14" x14ac:dyDescent="0.25">
      <c r="A3" t="s">
        <v>24</v>
      </c>
      <c r="B3">
        <v>5.3</v>
      </c>
      <c r="C3">
        <v>7.2763999999999998</v>
      </c>
      <c r="D3">
        <v>243</v>
      </c>
      <c r="E3">
        <v>28.36</v>
      </c>
      <c r="F3">
        <v>38.299999999999997</v>
      </c>
      <c r="G3" s="2">
        <f t="shared" ref="G3:G10" si="0">B3/D3</f>
        <v>2.1810699588477367E-2</v>
      </c>
      <c r="H3">
        <f t="shared" ref="H3:H10" si="1">(G3-$R$29)/$Q$29</f>
        <v>2.6314220365612454E-3</v>
      </c>
      <c r="I3">
        <f t="shared" ref="I3:I10" si="2">H3*F3</f>
        <v>0.10078346400029568</v>
      </c>
      <c r="J3" s="3">
        <f t="shared" ref="J3:J10" si="3">I3/E3*1000</f>
        <v>3.5537187588256591</v>
      </c>
      <c r="K3" s="2">
        <f t="shared" ref="K3:K10" si="4">C3/D3</f>
        <v>2.99440329218107E-2</v>
      </c>
      <c r="L3">
        <f t="shared" ref="L3:L10" si="5">(K3-$X$29)/$W$29</f>
        <v>1.1112749635796627E-3</v>
      </c>
      <c r="M3">
        <f t="shared" ref="M3:M10" si="6">L3*F3</f>
        <v>4.2561831105101075E-2</v>
      </c>
      <c r="N3" s="3">
        <f t="shared" ref="N3:N10" si="7">M3/E3*1000</f>
        <v>1.5007697850881903</v>
      </c>
    </row>
    <row r="4" spans="1:14" x14ac:dyDescent="0.25">
      <c r="A4" t="s">
        <v>25</v>
      </c>
      <c r="B4">
        <v>13.7</v>
      </c>
      <c r="C4">
        <v>7.0010000000000003</v>
      </c>
      <c r="D4">
        <v>237.8</v>
      </c>
      <c r="E4">
        <v>26.25</v>
      </c>
      <c r="F4">
        <v>38.44</v>
      </c>
      <c r="G4" s="2">
        <f t="shared" si="0"/>
        <v>5.7611438183347345E-2</v>
      </c>
      <c r="H4">
        <f t="shared" si="1"/>
        <v>7.3156316867850155E-3</v>
      </c>
      <c r="I4">
        <f t="shared" si="2"/>
        <v>0.28121288204001599</v>
      </c>
      <c r="J4" s="3">
        <f t="shared" si="3"/>
        <v>10.712871696762514</v>
      </c>
      <c r="K4" s="2">
        <f t="shared" si="4"/>
        <v>2.9440706476030278E-2</v>
      </c>
      <c r="L4">
        <f t="shared" si="5"/>
        <v>1.0719717292073398E-3</v>
      </c>
      <c r="M4">
        <f t="shared" si="6"/>
        <v>4.1206593270730139E-2</v>
      </c>
      <c r="N4" s="3">
        <f t="shared" si="7"/>
        <v>1.5697749817421005</v>
      </c>
    </row>
    <row r="5" spans="1:14" x14ac:dyDescent="0.25">
      <c r="A5" t="s">
        <v>26</v>
      </c>
      <c r="B5">
        <v>36.774999999999999</v>
      </c>
      <c r="C5">
        <v>9.6630000000000003</v>
      </c>
      <c r="D5">
        <v>215.9</v>
      </c>
      <c r="E5">
        <v>27.07</v>
      </c>
      <c r="F5">
        <v>37.549999999999997</v>
      </c>
      <c r="G5" s="2">
        <f t="shared" si="0"/>
        <v>0.17033348772579898</v>
      </c>
      <c r="H5">
        <f t="shared" si="1"/>
        <v>2.2064313780606814E-2</v>
      </c>
      <c r="I5">
        <f t="shared" si="2"/>
        <v>0.82851498246178579</v>
      </c>
      <c r="J5" s="3">
        <f t="shared" si="3"/>
        <v>30.606390190682887</v>
      </c>
      <c r="K5" s="2">
        <f t="shared" si="4"/>
        <v>4.475683186660491E-2</v>
      </c>
      <c r="L5">
        <f t="shared" si="5"/>
        <v>2.2679614709509139E-3</v>
      </c>
      <c r="M5">
        <f t="shared" si="6"/>
        <v>8.5161953234206805E-2</v>
      </c>
      <c r="N5" s="3">
        <f t="shared" si="7"/>
        <v>3.14599014533457</v>
      </c>
    </row>
    <row r="6" spans="1:14" x14ac:dyDescent="0.25">
      <c r="A6" t="s">
        <v>27</v>
      </c>
      <c r="B6">
        <v>59.045999999999999</v>
      </c>
      <c r="C6">
        <v>11.94</v>
      </c>
      <c r="D6">
        <v>231.8</v>
      </c>
      <c r="E6">
        <v>26.6</v>
      </c>
      <c r="F6">
        <v>38.130000000000003</v>
      </c>
      <c r="G6" s="2">
        <f t="shared" si="0"/>
        <v>0.25472821397756684</v>
      </c>
      <c r="H6">
        <f t="shared" si="1"/>
        <v>3.3106616443970623E-2</v>
      </c>
      <c r="I6">
        <f t="shared" si="2"/>
        <v>1.2623552850085999</v>
      </c>
      <c r="J6" s="3">
        <f t="shared" si="3"/>
        <v>47.456965601827065</v>
      </c>
      <c r="K6" s="2">
        <f t="shared" si="4"/>
        <v>5.1509922346850728E-2</v>
      </c>
      <c r="L6">
        <f t="shared" si="5"/>
        <v>2.7952898084696478E-3</v>
      </c>
      <c r="M6">
        <f t="shared" si="6"/>
        <v>0.10658440039694768</v>
      </c>
      <c r="N6" s="3">
        <f t="shared" si="7"/>
        <v>4.0069323457499122</v>
      </c>
    </row>
    <row r="7" spans="1:14" x14ac:dyDescent="0.25">
      <c r="A7" t="s">
        <v>28</v>
      </c>
      <c r="B7">
        <v>61.767499999999998</v>
      </c>
      <c r="C7">
        <v>13.166499999999999</v>
      </c>
      <c r="D7">
        <v>233.61600000000001</v>
      </c>
      <c r="E7">
        <v>25.92</v>
      </c>
      <c r="F7">
        <v>38.1</v>
      </c>
      <c r="G7" s="2">
        <f t="shared" si="0"/>
        <v>0.26439755838641188</v>
      </c>
      <c r="H7">
        <f t="shared" si="1"/>
        <v>3.4371764543393898E-2</v>
      </c>
      <c r="I7">
        <f t="shared" si="2"/>
        <v>1.3095642291033076</v>
      </c>
      <c r="J7" s="3">
        <f t="shared" si="3"/>
        <v>50.523311307997979</v>
      </c>
      <c r="K7" s="2">
        <f t="shared" si="4"/>
        <v>5.6359581535511259E-2</v>
      </c>
      <c r="L7">
        <f t="shared" si="5"/>
        <v>3.1739849740341579E-3</v>
      </c>
      <c r="M7">
        <f t="shared" si="6"/>
        <v>0.12092882751070143</v>
      </c>
      <c r="N7" s="3">
        <f t="shared" si="7"/>
        <v>4.6654640243326169</v>
      </c>
    </row>
    <row r="8" spans="1:14" x14ac:dyDescent="0.25">
      <c r="A8" t="s">
        <v>29</v>
      </c>
      <c r="B8">
        <v>66.801900000000003</v>
      </c>
      <c r="C8">
        <v>16.91</v>
      </c>
      <c r="D8">
        <v>228.75399999999999</v>
      </c>
      <c r="E8">
        <v>26.8</v>
      </c>
      <c r="F8">
        <v>38.07</v>
      </c>
      <c r="G8" s="2">
        <f t="shared" si="0"/>
        <v>0.29202505748533364</v>
      </c>
      <c r="H8">
        <f t="shared" si="1"/>
        <v>3.7986578174899865E-2</v>
      </c>
      <c r="I8">
        <f t="shared" si="2"/>
        <v>1.446149031118438</v>
      </c>
      <c r="J8" s="3">
        <f t="shared" si="3"/>
        <v>53.960784743225297</v>
      </c>
      <c r="K8" s="2">
        <f t="shared" si="4"/>
        <v>7.3922204639044573E-2</v>
      </c>
      <c r="L8">
        <f t="shared" si="5"/>
        <v>4.5453969032457457E-3</v>
      </c>
      <c r="M8">
        <f t="shared" si="6"/>
        <v>0.17304326010656554</v>
      </c>
      <c r="N8" s="3">
        <f t="shared" si="7"/>
        <v>6.4568380636778189</v>
      </c>
    </row>
    <row r="9" spans="1:14" x14ac:dyDescent="0.25">
      <c r="A9" t="s">
        <v>30</v>
      </c>
      <c r="B9">
        <v>65.525999999999996</v>
      </c>
      <c r="C9">
        <v>20.042000000000002</v>
      </c>
      <c r="D9">
        <v>281.7</v>
      </c>
      <c r="E9">
        <v>27.17</v>
      </c>
      <c r="F9">
        <v>35.5</v>
      </c>
      <c r="G9" s="2">
        <f t="shared" si="0"/>
        <v>0.2326091586794462</v>
      </c>
      <c r="H9">
        <f t="shared" si="1"/>
        <v>3.0212533909703115E-2</v>
      </c>
      <c r="I9">
        <f t="shared" si="2"/>
        <v>1.0725449537944605</v>
      </c>
      <c r="J9" s="3">
        <f t="shared" si="3"/>
        <v>39.475338748415908</v>
      </c>
      <c r="K9" s="2">
        <f t="shared" si="4"/>
        <v>7.1146609868654606E-2</v>
      </c>
      <c r="L9">
        <f t="shared" si="5"/>
        <v>4.328659132564765E-3</v>
      </c>
      <c r="M9">
        <f t="shared" si="6"/>
        <v>0.15366739920604916</v>
      </c>
      <c r="N9" s="3">
        <f t="shared" si="7"/>
        <v>5.6557747223426267</v>
      </c>
    </row>
    <row r="10" spans="1:14" ht="15.75" thickBot="1" x14ac:dyDescent="0.3">
      <c r="A10" t="s">
        <v>31</v>
      </c>
      <c r="B10">
        <v>68.267799999999994</v>
      </c>
      <c r="C10">
        <v>19.098400000000002</v>
      </c>
      <c r="D10">
        <v>223.92699999999999</v>
      </c>
      <c r="E10">
        <v>27.4</v>
      </c>
      <c r="F10">
        <v>37.17</v>
      </c>
      <c r="G10" s="4">
        <f t="shared" si="0"/>
        <v>0.30486631804114733</v>
      </c>
      <c r="H10">
        <f t="shared" si="1"/>
        <v>3.9666743416663888E-2</v>
      </c>
      <c r="I10" s="6">
        <f t="shared" si="2"/>
        <v>1.4744128527973968</v>
      </c>
      <c r="J10" s="5">
        <f t="shared" si="3"/>
        <v>53.810688058299149</v>
      </c>
      <c r="K10" s="4">
        <f t="shared" si="4"/>
        <v>8.5288509201659479E-2</v>
      </c>
      <c r="L10">
        <f t="shared" si="5"/>
        <v>5.4329571256755121E-3</v>
      </c>
      <c r="M10" s="6">
        <f t="shared" si="6"/>
        <v>0.20194301636135881</v>
      </c>
      <c r="N10" s="5">
        <f t="shared" si="7"/>
        <v>7.3701830788817091</v>
      </c>
    </row>
    <row r="14" spans="1:14" x14ac:dyDescent="0.25">
      <c r="A14" s="7" t="s">
        <v>20</v>
      </c>
      <c r="B14" s="7" t="s">
        <v>4</v>
      </c>
      <c r="C14" s="7" t="s">
        <v>5</v>
      </c>
      <c r="D14" s="7" t="s">
        <v>21</v>
      </c>
      <c r="E14" s="7"/>
      <c r="F14" s="7" t="s">
        <v>33</v>
      </c>
      <c r="G14" s="7" t="s">
        <v>32</v>
      </c>
      <c r="H14" s="7" t="s">
        <v>34</v>
      </c>
      <c r="I14" s="7" t="s">
        <v>35</v>
      </c>
      <c r="J14" s="7"/>
      <c r="K14" s="7" t="s">
        <v>36</v>
      </c>
      <c r="L14" s="7"/>
      <c r="M14" s="7" t="s">
        <v>37</v>
      </c>
      <c r="N14" s="7"/>
    </row>
    <row r="15" spans="1:14" x14ac:dyDescent="0.25">
      <c r="A15" s="8"/>
      <c r="B15" s="8" t="s">
        <v>22</v>
      </c>
      <c r="C15" s="8" t="s">
        <v>22</v>
      </c>
      <c r="D15" s="8" t="s">
        <v>22</v>
      </c>
      <c r="E15" s="8"/>
      <c r="F15" s="8"/>
      <c r="G15" s="8"/>
      <c r="H15" s="8"/>
      <c r="I15" s="8"/>
      <c r="J15" s="8"/>
      <c r="K15" s="8" t="s">
        <v>4</v>
      </c>
      <c r="L15" s="8" t="s">
        <v>5</v>
      </c>
      <c r="M15" s="8" t="s">
        <v>4</v>
      </c>
      <c r="N15" s="8" t="s">
        <v>5</v>
      </c>
    </row>
    <row r="16" spans="1:14" x14ac:dyDescent="0.25">
      <c r="A16" t="s">
        <v>38</v>
      </c>
      <c r="B16">
        <v>0</v>
      </c>
      <c r="C16">
        <v>3.4220000000000002</v>
      </c>
      <c r="D16">
        <v>189.46799999999999</v>
      </c>
      <c r="F16">
        <v>0</v>
      </c>
      <c r="G16">
        <v>32.1</v>
      </c>
      <c r="H16">
        <f>F16*0.91</f>
        <v>0</v>
      </c>
      <c r="I16">
        <f>F16*0.09</f>
        <v>0</v>
      </c>
      <c r="K16">
        <f>H16/G16</f>
        <v>0</v>
      </c>
      <c r="L16">
        <f>I16/G16</f>
        <v>0</v>
      </c>
      <c r="M16">
        <f>B16/D16</f>
        <v>0</v>
      </c>
      <c r="N16">
        <f>C16/D16</f>
        <v>1.806109738847721E-2</v>
      </c>
    </row>
    <row r="17" spans="1:24" x14ac:dyDescent="0.25">
      <c r="A17" t="s">
        <v>39</v>
      </c>
      <c r="B17">
        <v>41.9</v>
      </c>
      <c r="C17">
        <v>9.4139999999999997</v>
      </c>
      <c r="D17">
        <v>195.489</v>
      </c>
      <c r="F17">
        <v>1.1499999999999999</v>
      </c>
      <c r="G17">
        <v>35.200000000000003</v>
      </c>
      <c r="H17">
        <f>F17*0.91</f>
        <v>1.0465</v>
      </c>
      <c r="I17">
        <f t="shared" ref="I17:I19" si="8">F17*0.09</f>
        <v>0.10349999999999999</v>
      </c>
      <c r="K17">
        <f>H17/G17</f>
        <v>2.9730113636363634E-2</v>
      </c>
      <c r="L17">
        <f>I17/G17</f>
        <v>2.9403409090909085E-3</v>
      </c>
      <c r="M17">
        <f>B17/D17</f>
        <v>0.21433431037040446</v>
      </c>
      <c r="N17">
        <f>C17/D17</f>
        <v>4.8156162239307583E-2</v>
      </c>
    </row>
    <row r="18" spans="1:24" x14ac:dyDescent="0.25">
      <c r="A18" t="s">
        <v>40</v>
      </c>
      <c r="B18">
        <v>113.1</v>
      </c>
      <c r="C18">
        <v>21.702200000000001</v>
      </c>
      <c r="D18">
        <v>214.9</v>
      </c>
      <c r="F18">
        <v>2.65</v>
      </c>
      <c r="G18">
        <v>37.4</v>
      </c>
      <c r="H18">
        <f t="shared" ref="H18:H19" si="9">F18*0.91</f>
        <v>2.4115000000000002</v>
      </c>
      <c r="I18">
        <f t="shared" si="8"/>
        <v>0.23849999999999999</v>
      </c>
      <c r="K18">
        <f>H18/G18</f>
        <v>6.4478609625668454E-2</v>
      </c>
      <c r="L18">
        <f>I18/G18</f>
        <v>6.3770053475935831E-3</v>
      </c>
      <c r="M18">
        <f>B18/D18</f>
        <v>0.52629129827826893</v>
      </c>
      <c r="N18">
        <f>C18/D18</f>
        <v>0.10098743601675197</v>
      </c>
    </row>
    <row r="19" spans="1:24" x14ac:dyDescent="0.25">
      <c r="A19" t="s">
        <v>41</v>
      </c>
      <c r="B19">
        <v>179.2</v>
      </c>
      <c r="C19">
        <v>33.646000000000001</v>
      </c>
      <c r="D19">
        <v>228.9</v>
      </c>
      <c r="F19">
        <v>4.37</v>
      </c>
      <c r="G19">
        <v>38.15</v>
      </c>
      <c r="H19">
        <f t="shared" si="9"/>
        <v>3.9767000000000001</v>
      </c>
      <c r="I19">
        <f t="shared" si="8"/>
        <v>0.39329999999999998</v>
      </c>
      <c r="K19">
        <f>H19/G19</f>
        <v>0.10423853211009175</v>
      </c>
      <c r="L19">
        <f>I19/G19</f>
        <v>1.0309305373525557E-2</v>
      </c>
      <c r="M19">
        <f>B19/D19</f>
        <v>0.78287461773700295</v>
      </c>
      <c r="N19">
        <f>C19/D19</f>
        <v>0.14698995194408038</v>
      </c>
    </row>
    <row r="28" spans="1:24" x14ac:dyDescent="0.25">
      <c r="Q28" t="s">
        <v>47</v>
      </c>
      <c r="R28" t="s">
        <v>48</v>
      </c>
      <c r="W28" t="s">
        <v>47</v>
      </c>
      <c r="X28" t="s">
        <v>48</v>
      </c>
    </row>
    <row r="29" spans="1:24" x14ac:dyDescent="0.25">
      <c r="Q29" cm="1">
        <f t="array" ref="Q29:R29">LINEST(M16:M19,K16:K19,TRUE,FALSE)</f>
        <v>7.6428557362200342</v>
      </c>
      <c r="R29">
        <v>1.6991205819294475E-3</v>
      </c>
      <c r="W29" cm="1">
        <f t="array" ref="W29:X29">LINEST(N16:N19,L16:L19,TRUE,FALSE)</f>
        <v>12.806234749343261</v>
      </c>
      <c r="X29">
        <v>1.5712784867141658E-2</v>
      </c>
    </row>
  </sheetData>
  <mergeCells count="2">
    <mergeCell ref="G1:J1"/>
    <mergeCell ref="K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 from experiment</vt:lpstr>
      <vt:lpstr>PHAs calculation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Timmy Páez Watson</dc:creator>
  <cp:lastModifiedBy>Sony Vaio</cp:lastModifiedBy>
  <dcterms:created xsi:type="dcterms:W3CDTF">2024-03-25T07:34:39Z</dcterms:created>
  <dcterms:modified xsi:type="dcterms:W3CDTF">2025-05-07T09:24:51Z</dcterms:modified>
</cp:coreProperties>
</file>